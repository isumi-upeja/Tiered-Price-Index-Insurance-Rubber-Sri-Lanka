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4th Year\FINAL RESEARCH\"/>
    </mc:Choice>
  </mc:AlternateContent>
  <xr:revisionPtr revIDLastSave="0" documentId="13_ncr:1_{53371E34-19D5-44FD-9EDA-83EB9C6037BE}" xr6:coauthVersionLast="36" xr6:coauthVersionMax="36" xr10:uidLastSave="{00000000-0000-0000-0000-000000000000}"/>
  <bookViews>
    <workbookView xWindow="0" yWindow="0" windowWidth="23040" windowHeight="8652" activeTab="1" xr2:uid="{4F27FDA7-C2AB-4D89-BE93-F787B670D175}"/>
  </bookViews>
  <sheets>
    <sheet name="Colombo Auction Price RSS 1" sheetId="2" r:id="rId1"/>
    <sheet name="Colombo Auction Price RSS 3" sheetId="1" r:id="rId2"/>
    <sheet name="Descrptive Analysis" sheetId="3" r:id="rId3"/>
  </sheets>
  <definedNames>
    <definedName name="_xlnm._FilterDatabase" localSheetId="1" hidden="1">'Colombo Auction Price RSS 3'!$A$2:$C$141</definedName>
    <definedName name="_xlchart.v1.0" hidden="1">'Descrptive Analysis'!$C$3:$C$140</definedName>
    <definedName name="_xlchart.v1.1" hidden="1">'Descrptive Analysis'!$E$3:$E$140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3" l="1"/>
  <c r="P2" i="3"/>
  <c r="M9" i="3"/>
  <c r="M8" i="3"/>
  <c r="M7" i="3"/>
  <c r="M6" i="3"/>
  <c r="M5" i="3"/>
  <c r="M4" i="3"/>
  <c r="M3" i="3"/>
  <c r="M2" i="3"/>
  <c r="I9" i="3"/>
  <c r="I8" i="3"/>
  <c r="I7" i="3"/>
  <c r="I6" i="3"/>
  <c r="I5" i="3"/>
  <c r="I4" i="3"/>
  <c r="I3" i="3"/>
  <c r="I2" i="3"/>
  <c r="H2" i="3"/>
  <c r="E144" i="3"/>
  <c r="E145" i="3"/>
  <c r="E143" i="3"/>
  <c r="E142" i="3"/>
  <c r="E141" i="3"/>
  <c r="C145" i="3"/>
  <c r="C144" i="3"/>
  <c r="C143" i="3"/>
  <c r="C142" i="3"/>
  <c r="C141" i="3"/>
  <c r="E146" i="1"/>
  <c r="E145" i="1"/>
  <c r="E144" i="1"/>
  <c r="E143" i="1"/>
  <c r="E142" i="1"/>
  <c r="E138" i="1"/>
  <c r="E134" i="1"/>
  <c r="E141" i="1"/>
  <c r="E140" i="1"/>
  <c r="E139" i="1"/>
  <c r="E137" i="1"/>
  <c r="D143" i="1"/>
  <c r="D141" i="1"/>
  <c r="D140" i="1"/>
  <c r="D139" i="1"/>
  <c r="E145" i="2"/>
  <c r="E140" i="2"/>
  <c r="E142" i="2"/>
  <c r="E143" i="2"/>
  <c r="E144" i="2"/>
  <c r="E146" i="2"/>
  <c r="D145" i="2"/>
  <c r="L9" i="3" l="1"/>
  <c r="L8" i="3"/>
  <c r="H9" i="3"/>
  <c r="H8" i="3"/>
  <c r="L7" i="3"/>
  <c r="H7" i="3"/>
  <c r="L6" i="3"/>
  <c r="L5" i="3"/>
  <c r="H6" i="3"/>
  <c r="H5" i="3"/>
  <c r="L4" i="3"/>
  <c r="H4" i="3"/>
  <c r="L3" i="3"/>
  <c r="H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3" i="3"/>
  <c r="C4" i="3"/>
  <c r="C5" i="3"/>
  <c r="C6" i="3"/>
  <c r="P6" i="3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3" i="3"/>
  <c r="E137" i="2"/>
  <c r="E136" i="2"/>
  <c r="E130" i="2"/>
  <c r="E127" i="2"/>
  <c r="E105" i="2"/>
  <c r="E79" i="2"/>
  <c r="E80" i="2"/>
  <c r="E81" i="2"/>
  <c r="E82" i="2"/>
  <c r="E78" i="2"/>
  <c r="E25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8" i="2"/>
  <c r="E129" i="2"/>
  <c r="E131" i="2"/>
  <c r="E132" i="2"/>
  <c r="E133" i="2"/>
  <c r="E134" i="2"/>
  <c r="E135" i="2"/>
  <c r="E138" i="2"/>
  <c r="E139" i="2"/>
  <c r="E141" i="2"/>
  <c r="E3" i="2"/>
  <c r="D140" i="2"/>
  <c r="D137" i="2"/>
  <c r="D136" i="2"/>
  <c r="D130" i="2"/>
  <c r="D127" i="2"/>
  <c r="D105" i="2"/>
  <c r="D82" i="2"/>
  <c r="D81" i="2"/>
  <c r="D80" i="2"/>
  <c r="D79" i="2"/>
  <c r="D25" i="2"/>
  <c r="D78" i="2"/>
  <c r="E136" i="1"/>
  <c r="E133" i="1"/>
  <c r="E132" i="1"/>
  <c r="E130" i="1"/>
  <c r="E128" i="1"/>
  <c r="E127" i="1"/>
  <c r="E125" i="1"/>
  <c r="E121" i="1"/>
  <c r="E122" i="1"/>
  <c r="E120" i="1"/>
  <c r="E116" i="1"/>
  <c r="E115" i="1"/>
  <c r="E113" i="1"/>
  <c r="E112" i="1"/>
  <c r="E107" i="1"/>
  <c r="E105" i="1"/>
  <c r="E103" i="1"/>
  <c r="E100" i="1"/>
  <c r="E97" i="1"/>
  <c r="E93" i="1"/>
  <c r="E83" i="1"/>
  <c r="E72" i="1"/>
  <c r="E70" i="1"/>
  <c r="E69" i="1"/>
  <c r="E58" i="1"/>
  <c r="P7" i="3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E26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8" i="1"/>
  <c r="E49" i="1"/>
  <c r="E50" i="1"/>
  <c r="E51" i="1"/>
  <c r="E52" i="1"/>
  <c r="E53" i="1"/>
  <c r="E54" i="1"/>
  <c r="E56" i="1"/>
  <c r="E60" i="1"/>
  <c r="E62" i="1"/>
  <c r="E63" i="1"/>
  <c r="E64" i="1"/>
  <c r="E66" i="1"/>
  <c r="E68" i="1"/>
  <c r="E71" i="1"/>
  <c r="E73" i="1"/>
  <c r="E74" i="1"/>
  <c r="E75" i="1"/>
  <c r="E76" i="1"/>
  <c r="E77" i="1"/>
  <c r="E82" i="1"/>
  <c r="E84" i="1"/>
  <c r="E85" i="1"/>
  <c r="E86" i="1"/>
  <c r="E87" i="1"/>
  <c r="E88" i="1"/>
  <c r="E89" i="1"/>
  <c r="E90" i="1"/>
  <c r="E91" i="1"/>
  <c r="E92" i="1"/>
  <c r="E94" i="1"/>
  <c r="E96" i="1"/>
  <c r="E98" i="1"/>
  <c r="E99" i="1"/>
  <c r="E101" i="1"/>
  <c r="E102" i="1"/>
  <c r="E104" i="1"/>
  <c r="E106" i="1"/>
  <c r="E108" i="1"/>
  <c r="E109" i="1"/>
  <c r="E110" i="1"/>
  <c r="E111" i="1"/>
  <c r="E114" i="1"/>
  <c r="E117" i="1"/>
  <c r="E118" i="1"/>
  <c r="E119" i="1"/>
  <c r="E123" i="1"/>
  <c r="E124" i="1"/>
  <c r="E126" i="1"/>
  <c r="E129" i="1"/>
  <c r="E131" i="1"/>
  <c r="E135" i="1"/>
  <c r="E3" i="1"/>
  <c r="D137" i="1"/>
  <c r="D136" i="1"/>
  <c r="D134" i="1"/>
  <c r="D133" i="1"/>
  <c r="D132" i="1"/>
  <c r="D128" i="1"/>
  <c r="D127" i="1"/>
  <c r="D122" i="1"/>
  <c r="D121" i="1"/>
  <c r="D120" i="1"/>
  <c r="D116" i="1"/>
  <c r="D115" i="1"/>
  <c r="D113" i="1"/>
  <c r="D112" i="1"/>
  <c r="D130" i="1"/>
  <c r="D125" i="1"/>
  <c r="D105" i="1"/>
  <c r="D103" i="1"/>
  <c r="D100" i="1"/>
  <c r="D93" i="1"/>
  <c r="D83" i="1"/>
  <c r="D79" i="1"/>
  <c r="E79" i="1" s="1"/>
  <c r="D81" i="1"/>
  <c r="E81" i="1" s="1"/>
  <c r="D80" i="1"/>
  <c r="E80" i="1" s="1"/>
  <c r="D78" i="1"/>
  <c r="E78" i="1" s="1"/>
  <c r="E95" i="1"/>
  <c r="D97" i="1"/>
  <c r="D107" i="1"/>
  <c r="D72" i="1"/>
  <c r="D70" i="1"/>
  <c r="D69" i="1"/>
  <c r="D67" i="1"/>
  <c r="E67" i="1" s="1"/>
  <c r="D65" i="1"/>
  <c r="E65" i="1" s="1"/>
  <c r="D61" i="1"/>
  <c r="E61" i="1" s="1"/>
  <c r="D59" i="1"/>
  <c r="E59" i="1" s="1"/>
  <c r="D58" i="1"/>
  <c r="D57" i="1"/>
  <c r="E57" i="1" s="1"/>
  <c r="D55" i="1"/>
  <c r="E55" i="1" s="1"/>
  <c r="D47" i="1"/>
  <c r="E47" i="1" s="1"/>
  <c r="D27" i="1"/>
  <c r="E27" i="1" s="1"/>
  <c r="D25" i="1"/>
  <c r="E25" i="1" s="1"/>
  <c r="D19" i="1"/>
  <c r="E19" i="1" s="1"/>
</calcChain>
</file>

<file path=xl/sharedStrings.xml><?xml version="1.0" encoding="utf-8"?>
<sst xmlns="http://schemas.openxmlformats.org/spreadsheetml/2006/main" count="594" uniqueCount="174">
  <si>
    <t>YEAR</t>
  </si>
  <si>
    <t>2014 JAN</t>
  </si>
  <si>
    <t>2014FEB</t>
  </si>
  <si>
    <t>2014MAR</t>
  </si>
  <si>
    <t>2014APR</t>
  </si>
  <si>
    <t>2014MAY</t>
  </si>
  <si>
    <t>2014JUN</t>
  </si>
  <si>
    <t>2014JUL</t>
  </si>
  <si>
    <t>2014AUG</t>
  </si>
  <si>
    <t>2014SEP</t>
  </si>
  <si>
    <t>2014OCT</t>
  </si>
  <si>
    <t>2014NOV</t>
  </si>
  <si>
    <t>2014DEC</t>
  </si>
  <si>
    <t>2015JAN</t>
  </si>
  <si>
    <t>2015FEB</t>
  </si>
  <si>
    <t>2015MAR</t>
  </si>
  <si>
    <t>2015APR</t>
  </si>
  <si>
    <t>2015MAY</t>
  </si>
  <si>
    <t>2015JUN</t>
  </si>
  <si>
    <t>2015JUL</t>
  </si>
  <si>
    <t>2015AUG</t>
  </si>
  <si>
    <t>2015SEP</t>
  </si>
  <si>
    <t>2015OCT</t>
  </si>
  <si>
    <t>2015NOV</t>
  </si>
  <si>
    <t>2015DEC</t>
  </si>
  <si>
    <t>2016JAN</t>
  </si>
  <si>
    <t>2016FEB</t>
  </si>
  <si>
    <t>2016MAR</t>
  </si>
  <si>
    <t>2016APR</t>
  </si>
  <si>
    <t>2016MAY</t>
  </si>
  <si>
    <t>2016JUN</t>
  </si>
  <si>
    <t>2016JUL</t>
  </si>
  <si>
    <t>2016AUG</t>
  </si>
  <si>
    <t>2016SEP</t>
  </si>
  <si>
    <t>2016OCT</t>
  </si>
  <si>
    <t>2016NOV</t>
  </si>
  <si>
    <t>2016DEC</t>
  </si>
  <si>
    <t>2017JAN</t>
  </si>
  <si>
    <t>2017FEB</t>
  </si>
  <si>
    <t>2017MAR</t>
  </si>
  <si>
    <t>2017APR</t>
  </si>
  <si>
    <t>2017MAY</t>
  </si>
  <si>
    <t>2017JUN</t>
  </si>
  <si>
    <t>2017JUL</t>
  </si>
  <si>
    <t>2017AUG</t>
  </si>
  <si>
    <t>2017SEP</t>
  </si>
  <si>
    <t>2017OCT</t>
  </si>
  <si>
    <t>2017NOV</t>
  </si>
  <si>
    <t>2017DEC</t>
  </si>
  <si>
    <t>2018JAN</t>
  </si>
  <si>
    <t>2018FEB</t>
  </si>
  <si>
    <t>2018MAR</t>
  </si>
  <si>
    <t>2018APR</t>
  </si>
  <si>
    <t>2019MAY</t>
  </si>
  <si>
    <t>2018JUN</t>
  </si>
  <si>
    <t>2018JUL</t>
  </si>
  <si>
    <t>2018AUG</t>
  </si>
  <si>
    <t>2018SEP</t>
  </si>
  <si>
    <t>2018OCT</t>
  </si>
  <si>
    <t>2018NOV</t>
  </si>
  <si>
    <t>2018DEC</t>
  </si>
  <si>
    <t>2019JAN</t>
  </si>
  <si>
    <t>2019FEB</t>
  </si>
  <si>
    <t>2019MAR</t>
  </si>
  <si>
    <t>2019APR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</si>
  <si>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</si>
  <si>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</si>
  <si>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</si>
  <si>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</si>
  <si>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</si>
  <si>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</si>
  <si>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</si>
  <si>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</si>
  <si>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</si>
  <si>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</si>
  <si>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</si>
  <si>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</si>
  <si>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</si>
  <si>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</si>
  <si>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</si>
  <si>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</si>
  <si>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</si>
  <si>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</si>
  <si>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</si>
  <si>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</si>
  <si>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</si>
  <si>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</si>
  <si>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</si>
  <si>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</si>
  <si>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</si>
  <si>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</si>
  <si>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201AUG</t>
  </si>
  <si>
    <t>2021SEP</t>
  </si>
  <si>
    <t>2021OCT</t>
  </si>
  <si>
    <t>2021NOV</t>
  </si>
  <si>
    <t>2021DEC</t>
  </si>
  <si>
    <t>2022JAN</t>
  </si>
  <si>
    <t>2022FEB</t>
  </si>
  <si>
    <t>2022MAR</t>
  </si>
  <si>
    <t>2022APR</t>
  </si>
  <si>
    <t>2022MAY</t>
  </si>
  <si>
    <t>2022JUN</t>
  </si>
  <si>
    <t>2022JUL</t>
  </si>
  <si>
    <t>2022AUG</t>
  </si>
  <si>
    <t>2022SEP</t>
  </si>
  <si>
    <t>2022OCT</t>
  </si>
  <si>
    <t>2022NOV</t>
  </si>
  <si>
    <t>2022DEC</t>
  </si>
  <si>
    <t>2023JAN</t>
  </si>
  <si>
    <t>2023FEB</t>
  </si>
  <si>
    <t>2023MAR</t>
  </si>
  <si>
    <t>2023APR</t>
  </si>
  <si>
    <t>2023MAY</t>
  </si>
  <si>
    <t>2023JUN</t>
  </si>
  <si>
    <t>2023JUL</t>
  </si>
  <si>
    <t>2023AUG</t>
  </si>
  <si>
    <t>2023SEP</t>
  </si>
  <si>
    <t>2023OCT</t>
  </si>
  <si>
    <t>2023NOV</t>
  </si>
  <si>
    <t>2023DEC</t>
  </si>
  <si>
    <t>2024JAN</t>
  </si>
  <si>
    <t>2024FEB</t>
  </si>
  <si>
    <t>2024MAR</t>
  </si>
  <si>
    <t>2024APR</t>
  </si>
  <si>
    <t>2024MAY</t>
  </si>
  <si>
    <t>2024JUN</t>
  </si>
  <si>
    <t>2024JUL</t>
  </si>
  <si>
    <t>2024AUG</t>
  </si>
  <si>
    <t>2024SEP</t>
  </si>
  <si>
    <t>2024OCT</t>
  </si>
  <si>
    <t>2024NOV</t>
  </si>
  <si>
    <t>2024DEC</t>
  </si>
  <si>
    <t>2025JAN</t>
  </si>
  <si>
    <t>2025FEB</t>
  </si>
  <si>
    <t>2025MAR</t>
  </si>
  <si>
    <t>2025APR</t>
  </si>
  <si>
    <t>2025MAY</t>
  </si>
  <si>
    <t>2025JUN</t>
  </si>
  <si>
    <t>2025JUL</t>
  </si>
  <si>
    <t>unq</t>
  </si>
  <si>
    <t>Unq</t>
  </si>
  <si>
    <t>Missing_Value_Flag</t>
  </si>
  <si>
    <t>Original_Rubber_Price</t>
  </si>
  <si>
    <t>Interpolation_Adjustment</t>
  </si>
  <si>
    <t xml:space="preserve">Interpolated Price </t>
  </si>
  <si>
    <t>RSS 1</t>
  </si>
  <si>
    <t>Final_Price</t>
  </si>
  <si>
    <t>Colombo Auction Price RSS 3</t>
  </si>
  <si>
    <t>Colombo Auction Price RSS 1</t>
  </si>
  <si>
    <t>Final_Price_RSS 1</t>
  </si>
  <si>
    <t>Final_Price_RSS 3</t>
  </si>
  <si>
    <t>Count</t>
  </si>
  <si>
    <t>Mean</t>
  </si>
  <si>
    <t>Median</t>
  </si>
  <si>
    <t xml:space="preserve">Min </t>
  </si>
  <si>
    <t>Max</t>
  </si>
  <si>
    <t>Standard Deviation</t>
  </si>
  <si>
    <t>RSS 1 _Returns</t>
  </si>
  <si>
    <t>RSS 3 _Returns</t>
  </si>
  <si>
    <t>RSS 3</t>
  </si>
  <si>
    <t>Skewness</t>
  </si>
  <si>
    <t>Kurtosis</t>
  </si>
  <si>
    <t>RSS 1 - Prices</t>
  </si>
  <si>
    <t>RSS 1 - Returns</t>
  </si>
  <si>
    <t>RSS 3 - Prices</t>
  </si>
  <si>
    <t>RSS 3 - Returns</t>
  </si>
  <si>
    <t>Correlation between RSS1 and RSS3 prices:</t>
  </si>
  <si>
    <t>Correlation between RSS1 and RSS3 Returns:</t>
  </si>
  <si>
    <t>Monthly Volatality (Stan.Dev of log returns)</t>
  </si>
  <si>
    <t>2025AUG</t>
  </si>
  <si>
    <t>2025SEP</t>
  </si>
  <si>
    <t>2025OCT</t>
  </si>
  <si>
    <t>2025NOV</t>
  </si>
  <si>
    <t>2025DEC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</si>
</sst>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Fill="1"/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 wrapText="1" indent="1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/>
  </cellXfs>
  <cellStyles count="2">
    <cellStyle name="Normal" xfId="0" builtinId="0"/>
    <cellStyle name="Normal 2" xfId="1" xr:uid="{11FC7A4A-E19E-4DA4-939C-4C88233A8805}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RSS1 &amp; RSS3 prices, 2014–2025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'Descrptive Analysis'!$B$1</c:f>
              <c:strCache>
                <c:ptCount val="1"/>
                <c:pt idx="0">
                  <c:v>Final_Price_RSS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'Descrptive Analysis'!$A$2:$A$145</c:f>
              <c:strCache>
                <c:ptCount val="144"/>
                <c:pt idx="0">
                  <c:v>2014 JAN</c:v>
                </c:pt>
                <c:pt idx="1">
                  <c:v>2014FEB</c:v>
                </c:pt>
                <c:pt idx="2">
                  <c:v>2014MAR</c:v>
                </c:pt>
                <c:pt idx="3">
                  <c:v>2014APR</c:v>
                </c:pt>
                <c:pt idx="4">
                  <c:v>2014MAY</c:v>
                </c:pt>
                <c:pt idx="5">
                  <c:v>2014JUN</c:v>
                </c:pt>
                <c:pt idx="6">
                  <c:v>2014JUL</c:v>
                </c:pt>
                <c:pt idx="7">
                  <c:v>2014AUG</c:v>
                </c:pt>
                <c:pt idx="8">
                  <c:v>2014SEP</c:v>
                </c:pt>
                <c:pt idx="9">
                  <c:v>2014OCT</c:v>
                </c:pt>
                <c:pt idx="10">
                  <c:v>2014NOV</c:v>
                </c:pt>
                <c:pt idx="11">
                  <c:v>2014DEC</c:v>
                </c:pt>
                <c:pt idx="12">
                  <c:v>2015JAN</c:v>
                </c:pt>
                <c:pt idx="13">
                  <c:v>2015FEB</c:v>
                </c:pt>
                <c:pt idx="14">
                  <c:v>2015MAR</c:v>
                </c:pt>
                <c:pt idx="15">
                  <c:v>2015APR</c:v>
                </c:pt>
                <c:pt idx="16">
                  <c:v>2015MAY</c:v>
                </c:pt>
                <c:pt idx="17">
                  <c:v>2015JUN</c:v>
                </c:pt>
                <c:pt idx="18">
                  <c:v>2015JUL</c:v>
                </c:pt>
                <c:pt idx="19">
                  <c:v>2015AUG</c:v>
                </c:pt>
                <c:pt idx="20">
                  <c:v>2015SEP</c:v>
                </c:pt>
                <c:pt idx="21">
                  <c:v>2015OCT</c:v>
                </c:pt>
                <c:pt idx="22">
                  <c:v>2015NOV</c:v>
                </c:pt>
                <c:pt idx="23">
                  <c:v>2015DEC</c:v>
                </c:pt>
                <c:pt idx="24">
                  <c:v>2016JAN</c:v>
                </c:pt>
                <c:pt idx="25">
                  <c:v>2016FEB</c:v>
                </c:pt>
                <c:pt idx="26">
                  <c:v>2016MAR</c:v>
                </c:pt>
                <c:pt idx="27">
                  <c:v>2016APR</c:v>
                </c:pt>
                <c:pt idx="28">
                  <c:v>2016MAY</c:v>
                </c:pt>
                <c:pt idx="29">
                  <c:v>2016JUN</c:v>
                </c:pt>
                <c:pt idx="30">
                  <c:v>2016JUL</c:v>
                </c:pt>
                <c:pt idx="31">
                  <c:v>2016AUG</c:v>
                </c:pt>
                <c:pt idx="32">
                  <c:v>2016SEP</c:v>
                </c:pt>
                <c:pt idx="33">
                  <c:v>2016OCT</c:v>
                </c:pt>
                <c:pt idx="34">
                  <c:v>2016NOV</c:v>
                </c:pt>
                <c:pt idx="35">
                  <c:v>2016DEC</c:v>
                </c:pt>
                <c:pt idx="36">
                  <c:v>2017JAN</c:v>
                </c:pt>
                <c:pt idx="37">
                  <c:v>2017FEB</c:v>
                </c:pt>
                <c:pt idx="38">
                  <c:v>2017MAR</c:v>
                </c:pt>
                <c:pt idx="39">
                  <c:v>2017APR</c:v>
                </c:pt>
                <c:pt idx="40">
                  <c:v>2017MAY</c:v>
                </c:pt>
                <c:pt idx="41">
                  <c:v>2017JUN</c:v>
                </c:pt>
                <c:pt idx="42">
                  <c:v>2017JUL</c:v>
                </c:pt>
                <c:pt idx="43">
                  <c:v>2017AUG</c:v>
                </c:pt>
                <c:pt idx="44">
                  <c:v>2017SEP</c:v>
                </c:pt>
                <c:pt idx="45">
                  <c:v>2017OCT</c:v>
                </c:pt>
                <c:pt idx="46">
                  <c:v>2017NOV</c:v>
                </c:pt>
                <c:pt idx="47">
                  <c:v>2017DEC</c:v>
                </c:pt>
                <c:pt idx="48">
                  <c:v>2018JAN</c:v>
                </c:pt>
                <c:pt idx="49">
                  <c:v>2018FEB</c:v>
                </c:pt>
                <c:pt idx="50">
                  <c:v>2018MAR</c:v>
                </c:pt>
                <c:pt idx="51">
                  <c:v>2018APR</c:v>
                </c:pt>
                <c:pt idx="52">
                  <c:v>2019MAY</c:v>
                </c:pt>
                <c:pt idx="53">
                  <c:v>2018JUN</c:v>
                </c:pt>
                <c:pt idx="54">
                  <c:v>2018JUL</c:v>
                </c:pt>
                <c:pt idx="55">
                  <c:v>2018AUG</c:v>
                </c:pt>
                <c:pt idx="56">
                  <c:v>2018SEP</c:v>
                </c:pt>
                <c:pt idx="57">
                  <c:v>2018OCT</c:v>
                </c:pt>
                <c:pt idx="58">
                  <c:v>2018NOV</c:v>
                </c:pt>
                <c:pt idx="59">
                  <c:v>2018DEC</c:v>
                </c:pt>
                <c:pt idx="60">
                  <c:v>2019JAN</c:v>
                </c:pt>
                <c:pt idx="61">
                  <c:v>2019FEB</c:v>
                </c:pt>
                <c:pt idx="62">
                  <c:v>2019MAR</c:v>
                </c:pt>
                <c:pt idx="63">
                  <c:v>2019APR</c:v>
                </c:pt>
                <c:pt idx="64">
                  <c:v>2019MAY</c:v>
                </c:pt>
                <c:pt idx="65">
                  <c:v>2019JUN</c:v>
                </c:pt>
                <c:pt idx="66">
                  <c:v>2019JUL</c:v>
                </c:pt>
                <c:pt idx="67">
                  <c:v>2019AUG</c:v>
                </c:pt>
                <c:pt idx="68">
                  <c:v>2019SEP</c:v>
                </c:pt>
                <c:pt idx="69">
                  <c:v>2019OCT</c:v>
                </c:pt>
                <c:pt idx="70">
                  <c:v>2019NOV</c:v>
                </c:pt>
                <c:pt idx="71">
                  <c:v>2019DEC</c:v>
                </c:pt>
                <c:pt idx="72">
                  <c:v>2020JAN</c:v>
                </c:pt>
                <c:pt idx="73">
                  <c:v>2020FEB</c:v>
                </c:pt>
                <c:pt idx="74">
                  <c:v>2020MAR</c:v>
                </c:pt>
                <c:pt idx="75">
                  <c:v>2020APR</c:v>
                </c:pt>
                <c:pt idx="76">
                  <c:v>2020MAY</c:v>
                </c:pt>
                <c:pt idx="77">
                  <c:v>2020JUN</c:v>
                </c:pt>
                <c:pt idx="78">
                  <c:v>2020JUL</c:v>
                </c:pt>
                <c:pt idx="79">
                  <c:v>2020AUG</c:v>
                </c:pt>
                <c:pt idx="80">
                  <c:v>2020SEP</c:v>
                </c:pt>
                <c:pt idx="81">
                  <c:v>2020OCT</c:v>
                </c:pt>
                <c:pt idx="82">
                  <c:v>2020NOV</c:v>
                </c:pt>
                <c:pt idx="83">
                  <c:v>2020DEC</c:v>
                </c:pt>
                <c:pt idx="84">
                  <c:v>2021JAN</c:v>
                </c:pt>
                <c:pt idx="85">
                  <c:v>2021FEB</c:v>
                </c:pt>
                <c:pt idx="86">
                  <c:v>2021MAR</c:v>
                </c:pt>
                <c:pt idx="87">
                  <c:v>2021APR</c:v>
                </c:pt>
                <c:pt idx="88">
                  <c:v>2021MAY</c:v>
                </c:pt>
                <c:pt idx="89">
                  <c:v>2021JUN</c:v>
                </c:pt>
                <c:pt idx="90">
                  <c:v>2021JUL</c:v>
                </c:pt>
                <c:pt idx="91">
                  <c:v>201AUG</c:v>
                </c:pt>
                <c:pt idx="92">
                  <c:v>2021SEP</c:v>
                </c:pt>
                <c:pt idx="93">
                  <c:v>2021OCT</c:v>
                </c:pt>
                <c:pt idx="94">
                  <c:v>2021NOV</c:v>
                </c:pt>
                <c:pt idx="95">
                  <c:v>2021DEC</c:v>
                </c:pt>
                <c:pt idx="96">
                  <c:v>2022JAN</c:v>
                </c:pt>
                <c:pt idx="97">
                  <c:v>2022FEB</c:v>
                </c:pt>
                <c:pt idx="98">
                  <c:v>2022MAR</c:v>
                </c:pt>
                <c:pt idx="99">
                  <c:v>2022APR</c:v>
                </c:pt>
                <c:pt idx="100">
                  <c:v>2022MAY</c:v>
                </c:pt>
                <c:pt idx="101">
                  <c:v>2022JUN</c:v>
                </c:pt>
                <c:pt idx="102">
                  <c:v>2022JUL</c:v>
                </c:pt>
                <c:pt idx="103">
                  <c:v>2022AUG</c:v>
                </c:pt>
                <c:pt idx="104">
                  <c:v>2022SEP</c:v>
                </c:pt>
                <c:pt idx="105">
                  <c:v>2022OCT</c:v>
                </c:pt>
                <c:pt idx="106">
                  <c:v>2022NOV</c:v>
                </c:pt>
                <c:pt idx="107">
                  <c:v>2022DEC</c:v>
                </c:pt>
                <c:pt idx="108">
                  <c:v>2023JAN</c:v>
                </c:pt>
                <c:pt idx="109">
                  <c:v>2023FEB</c:v>
                </c:pt>
                <c:pt idx="110">
                  <c:v>2023MAR</c:v>
                </c:pt>
                <c:pt idx="111">
                  <c:v>2023APR</c:v>
                </c:pt>
                <c:pt idx="112">
                  <c:v>2023MAY</c:v>
                </c:pt>
                <c:pt idx="113">
                  <c:v>2023JUN</c:v>
                </c:pt>
                <c:pt idx="114">
                  <c:v>2023JUL</c:v>
                </c:pt>
                <c:pt idx="115">
                  <c:v>2023AUG</c:v>
                </c:pt>
                <c:pt idx="116">
                  <c:v>2023SEP</c:v>
                </c:pt>
                <c:pt idx="117">
                  <c:v>2023OCT</c:v>
                </c:pt>
                <c:pt idx="118">
                  <c:v>2023NOV</c:v>
                </c:pt>
                <c:pt idx="119">
                  <c:v>2023DEC</c:v>
                </c:pt>
                <c:pt idx="120">
                  <c:v>2024JAN</c:v>
                </c:pt>
                <c:pt idx="121">
                  <c:v>2024FEB</c:v>
                </c:pt>
                <c:pt idx="122">
                  <c:v>2024MAR</c:v>
                </c:pt>
                <c:pt idx="123">
                  <c:v>2024APR</c:v>
                </c:pt>
                <c:pt idx="124">
                  <c:v>2024MAY</c:v>
                </c:pt>
                <c:pt idx="125">
                  <c:v>2024JUN</c:v>
                </c:pt>
                <c:pt idx="126">
                  <c:v>2024JUL</c:v>
                </c:pt>
                <c:pt idx="127">
                  <c:v>2024AUG</c:v>
                </c:pt>
                <c:pt idx="128">
                  <c:v>2024SEP</c:v>
                </c:pt>
                <c:pt idx="129">
                  <c:v>2024OCT</c:v>
                </c:pt>
                <c:pt idx="130">
                  <c:v>2024NOV</c:v>
                </c:pt>
                <c:pt idx="131">
                  <c:v>2024DEC</c:v>
                </c:pt>
                <c:pt idx="132">
                  <c:v>2025JAN</c:v>
                </c:pt>
                <c:pt idx="133">
                  <c:v>2025FEB</c:v>
                </c:pt>
                <c:pt idx="134">
                  <c:v>2025MAR</c:v>
                </c:pt>
                <c:pt idx="135">
                  <c:v>2025APR</c:v>
                </c:pt>
                <c:pt idx="136">
                  <c:v>2025MAY</c:v>
                </c:pt>
                <c:pt idx="137">
                  <c:v>2025JUN</c:v>
                </c:pt>
                <c:pt idx="138">
                  <c:v>2025JUL</c:v>
                </c:pt>
                <c:pt idx="139">
                  <c:v>2025AUG</c:v>
                </c:pt>
                <c:pt idx="140">
                  <c:v>2025SEP</c:v>
                </c:pt>
                <c:pt idx="141">
                  <c:v>2025OCT</c:v>
                </c:pt>
                <c:pt idx="142">
                  <c:v>2025NOV</c:v>
                </c:pt>
                <c:pt idx="143">
                  <c:v>2025DEC</c:v>
                </c:pt>
              </c:strCache>
            </c:strRef>
          </c:cat>
          <c:val>
            <c:numRef>
              <c:f>'Descrptive Analysis'!$B$2:$B$140</c:f>
              <c:numCache>
                <c:formatCode>General</c:formatCode>
                <c:ptCount val="139"/>
                <c:pt idx="0">
                  <c:v>321.33999999999997</c:v>
                </c:pt>
                <c:pt idx="1">
                  <c:v>294.69</c:v>
                </c:pt>
                <c:pt idx="2">
                  <c:v>301.5</c:v>
                </c:pt>
                <c:pt idx="3">
                  <c:v>281.27999999999997</c:v>
                </c:pt>
                <c:pt idx="4">
                  <c:v>289.54000000000002</c:v>
                </c:pt>
                <c:pt idx="5">
                  <c:v>313.47000000000003</c:v>
                </c:pt>
                <c:pt idx="6">
                  <c:v>289.86</c:v>
                </c:pt>
                <c:pt idx="7">
                  <c:v>263.52</c:v>
                </c:pt>
                <c:pt idx="8">
                  <c:v>261.08</c:v>
                </c:pt>
                <c:pt idx="9">
                  <c:v>286.8</c:v>
                </c:pt>
                <c:pt idx="10">
                  <c:v>263.20999999999998</c:v>
                </c:pt>
                <c:pt idx="11">
                  <c:v>262.83</c:v>
                </c:pt>
                <c:pt idx="12">
                  <c:v>304.83</c:v>
                </c:pt>
                <c:pt idx="13">
                  <c:v>275.75</c:v>
                </c:pt>
                <c:pt idx="14">
                  <c:v>244.3</c:v>
                </c:pt>
                <c:pt idx="15">
                  <c:v>219.3</c:v>
                </c:pt>
                <c:pt idx="16">
                  <c:v>233.75</c:v>
                </c:pt>
                <c:pt idx="17">
                  <c:v>235</c:v>
                </c:pt>
                <c:pt idx="18">
                  <c:v>243</c:v>
                </c:pt>
                <c:pt idx="19">
                  <c:v>243.33</c:v>
                </c:pt>
                <c:pt idx="20">
                  <c:v>238.83</c:v>
                </c:pt>
                <c:pt idx="21">
                  <c:v>241</c:v>
                </c:pt>
                <c:pt idx="22">
                  <c:v>233.58499999999998</c:v>
                </c:pt>
                <c:pt idx="23">
                  <c:v>226.17</c:v>
                </c:pt>
                <c:pt idx="24">
                  <c:v>228</c:v>
                </c:pt>
                <c:pt idx="25">
                  <c:v>194</c:v>
                </c:pt>
                <c:pt idx="26">
                  <c:v>208.68</c:v>
                </c:pt>
                <c:pt idx="27">
                  <c:v>232.63</c:v>
                </c:pt>
                <c:pt idx="28">
                  <c:v>245.33</c:v>
                </c:pt>
                <c:pt idx="29">
                  <c:v>268.92</c:v>
                </c:pt>
                <c:pt idx="30">
                  <c:v>254.38</c:v>
                </c:pt>
                <c:pt idx="31">
                  <c:v>229.33</c:v>
                </c:pt>
                <c:pt idx="32">
                  <c:v>225.23</c:v>
                </c:pt>
                <c:pt idx="33">
                  <c:v>236.4</c:v>
                </c:pt>
                <c:pt idx="34">
                  <c:v>256.57</c:v>
                </c:pt>
                <c:pt idx="35">
                  <c:v>285.20999999999998</c:v>
                </c:pt>
                <c:pt idx="36">
                  <c:v>328.71</c:v>
                </c:pt>
                <c:pt idx="37">
                  <c:v>338.67</c:v>
                </c:pt>
                <c:pt idx="38">
                  <c:v>316.20999999999998</c:v>
                </c:pt>
                <c:pt idx="39">
                  <c:v>322.06</c:v>
                </c:pt>
                <c:pt idx="40">
                  <c:v>340.43</c:v>
                </c:pt>
                <c:pt idx="41">
                  <c:v>343.8</c:v>
                </c:pt>
                <c:pt idx="42">
                  <c:v>352.5</c:v>
                </c:pt>
                <c:pt idx="43">
                  <c:v>346.38</c:v>
                </c:pt>
                <c:pt idx="44">
                  <c:v>343.5</c:v>
                </c:pt>
                <c:pt idx="45">
                  <c:v>345.67</c:v>
                </c:pt>
                <c:pt idx="46">
                  <c:v>336.5</c:v>
                </c:pt>
                <c:pt idx="47">
                  <c:v>332.8</c:v>
                </c:pt>
                <c:pt idx="48">
                  <c:v>311.17</c:v>
                </c:pt>
                <c:pt idx="49">
                  <c:v>278.83</c:v>
                </c:pt>
                <c:pt idx="50">
                  <c:v>280.33</c:v>
                </c:pt>
                <c:pt idx="51">
                  <c:v>265</c:v>
                </c:pt>
                <c:pt idx="52">
                  <c:v>285.83</c:v>
                </c:pt>
                <c:pt idx="53">
                  <c:v>317.5</c:v>
                </c:pt>
                <c:pt idx="54">
                  <c:v>300</c:v>
                </c:pt>
                <c:pt idx="55">
                  <c:v>281.44</c:v>
                </c:pt>
                <c:pt idx="56">
                  <c:v>259.10000000000002</c:v>
                </c:pt>
                <c:pt idx="57">
                  <c:v>263.20999999999998</c:v>
                </c:pt>
                <c:pt idx="58">
                  <c:v>262.75</c:v>
                </c:pt>
                <c:pt idx="59">
                  <c:v>274.5</c:v>
                </c:pt>
                <c:pt idx="60">
                  <c:v>252.3</c:v>
                </c:pt>
                <c:pt idx="61">
                  <c:v>247.67</c:v>
                </c:pt>
                <c:pt idx="62">
                  <c:v>267.31</c:v>
                </c:pt>
                <c:pt idx="63">
                  <c:v>265.14999999999998</c:v>
                </c:pt>
                <c:pt idx="64">
                  <c:v>275.45999999999998</c:v>
                </c:pt>
                <c:pt idx="65">
                  <c:v>316.51</c:v>
                </c:pt>
                <c:pt idx="66">
                  <c:v>299.60000000000002</c:v>
                </c:pt>
                <c:pt idx="67">
                  <c:v>290.73</c:v>
                </c:pt>
                <c:pt idx="68">
                  <c:v>302.5</c:v>
                </c:pt>
                <c:pt idx="69">
                  <c:v>301.29000000000002</c:v>
                </c:pt>
                <c:pt idx="70">
                  <c:v>317.93</c:v>
                </c:pt>
                <c:pt idx="71">
                  <c:v>325.33999999999997</c:v>
                </c:pt>
                <c:pt idx="72">
                  <c:v>326.45999999999998</c:v>
                </c:pt>
                <c:pt idx="73">
                  <c:v>301.25</c:v>
                </c:pt>
                <c:pt idx="74">
                  <c:v>300</c:v>
                </c:pt>
                <c:pt idx="75">
                  <c:v>303.83333333333331</c:v>
                </c:pt>
                <c:pt idx="76">
                  <c:v>307.66666666666669</c:v>
                </c:pt>
                <c:pt idx="77">
                  <c:v>311.5</c:v>
                </c:pt>
                <c:pt idx="78">
                  <c:v>315.33333333333331</c:v>
                </c:pt>
                <c:pt idx="79">
                  <c:v>319.16666666666669</c:v>
                </c:pt>
                <c:pt idx="80">
                  <c:v>323</c:v>
                </c:pt>
                <c:pt idx="81">
                  <c:v>362.67</c:v>
                </c:pt>
                <c:pt idx="82">
                  <c:v>406.88</c:v>
                </c:pt>
                <c:pt idx="83">
                  <c:v>430</c:v>
                </c:pt>
                <c:pt idx="84">
                  <c:v>458.5</c:v>
                </c:pt>
                <c:pt idx="85">
                  <c:v>444.33</c:v>
                </c:pt>
                <c:pt idx="86">
                  <c:v>426.5</c:v>
                </c:pt>
                <c:pt idx="87">
                  <c:v>428</c:v>
                </c:pt>
                <c:pt idx="88">
                  <c:v>450.25</c:v>
                </c:pt>
                <c:pt idx="89">
                  <c:v>467</c:v>
                </c:pt>
                <c:pt idx="90">
                  <c:v>454.5</c:v>
                </c:pt>
                <c:pt idx="91">
                  <c:v>456.5</c:v>
                </c:pt>
                <c:pt idx="92">
                  <c:v>462.5</c:v>
                </c:pt>
                <c:pt idx="93">
                  <c:v>488</c:v>
                </c:pt>
                <c:pt idx="94">
                  <c:v>515</c:v>
                </c:pt>
                <c:pt idx="95">
                  <c:v>475</c:v>
                </c:pt>
                <c:pt idx="96">
                  <c:v>461</c:v>
                </c:pt>
                <c:pt idx="97">
                  <c:v>458.5</c:v>
                </c:pt>
                <c:pt idx="98">
                  <c:v>562.70000000000005</c:v>
                </c:pt>
                <c:pt idx="99">
                  <c:v>648.75</c:v>
                </c:pt>
                <c:pt idx="100">
                  <c:v>718.33</c:v>
                </c:pt>
                <c:pt idx="101">
                  <c:v>800.8</c:v>
                </c:pt>
                <c:pt idx="102">
                  <c:v>742.9</c:v>
                </c:pt>
                <c:pt idx="103">
                  <c:v>685</c:v>
                </c:pt>
                <c:pt idx="104">
                  <c:v>670</c:v>
                </c:pt>
                <c:pt idx="105">
                  <c:v>500</c:v>
                </c:pt>
                <c:pt idx="106">
                  <c:v>526.70000000000005</c:v>
                </c:pt>
                <c:pt idx="107">
                  <c:v>517.66999999999996</c:v>
                </c:pt>
                <c:pt idx="108">
                  <c:v>472.66666666666669</c:v>
                </c:pt>
                <c:pt idx="109">
                  <c:v>505</c:v>
                </c:pt>
                <c:pt idx="110">
                  <c:v>480</c:v>
                </c:pt>
                <c:pt idx="111">
                  <c:v>464</c:v>
                </c:pt>
                <c:pt idx="112">
                  <c:v>485</c:v>
                </c:pt>
                <c:pt idx="113">
                  <c:v>536.25</c:v>
                </c:pt>
                <c:pt idx="114">
                  <c:v>600</c:v>
                </c:pt>
                <c:pt idx="115">
                  <c:v>518.33333333333337</c:v>
                </c:pt>
                <c:pt idx="116">
                  <c:v>566</c:v>
                </c:pt>
                <c:pt idx="117">
                  <c:v>610</c:v>
                </c:pt>
                <c:pt idx="118">
                  <c:v>682.33333333333337</c:v>
                </c:pt>
                <c:pt idx="119">
                  <c:v>793.33333333333337</c:v>
                </c:pt>
                <c:pt idx="120">
                  <c:v>658.33333333333337</c:v>
                </c:pt>
                <c:pt idx="121">
                  <c:v>650.5</c:v>
                </c:pt>
                <c:pt idx="122">
                  <c:v>686.5</c:v>
                </c:pt>
                <c:pt idx="123">
                  <c:v>645</c:v>
                </c:pt>
                <c:pt idx="124">
                  <c:v>660</c:v>
                </c:pt>
                <c:pt idx="125">
                  <c:v>675</c:v>
                </c:pt>
                <c:pt idx="126">
                  <c:v>700</c:v>
                </c:pt>
                <c:pt idx="127">
                  <c:v>726</c:v>
                </c:pt>
                <c:pt idx="128">
                  <c:v>752</c:v>
                </c:pt>
                <c:pt idx="129">
                  <c:v>810.5</c:v>
                </c:pt>
                <c:pt idx="130">
                  <c:v>802.5</c:v>
                </c:pt>
                <c:pt idx="131">
                  <c:v>760</c:v>
                </c:pt>
                <c:pt idx="132">
                  <c:v>750</c:v>
                </c:pt>
                <c:pt idx="133">
                  <c:v>726.66666666666663</c:v>
                </c:pt>
                <c:pt idx="134">
                  <c:v>703.33333333333337</c:v>
                </c:pt>
                <c:pt idx="135">
                  <c:v>680</c:v>
                </c:pt>
                <c:pt idx="136">
                  <c:v>700</c:v>
                </c:pt>
                <c:pt idx="137">
                  <c:v>715</c:v>
                </c:pt>
                <c:pt idx="138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8-48A3-B22B-1D0DB393EDD6}"/>
            </c:ext>
          </c:extLst>
        </c:ser>
        <c:ser>
          <c:idx val="1"/>
          <c:order val="1"/>
          <c:tx>
            <c:strRef>
              <c:f>'Descrptive Analysis'!$D$1</c:f>
              <c:strCache>
                <c:ptCount val="1"/>
                <c:pt idx="0">
                  <c:v>Final_Price_RSS 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'Descrptive Analysis'!$A$2:$A$145</c:f>
              <c:strCache>
                <c:ptCount val="144"/>
                <c:pt idx="0">
                  <c:v>2014 JAN</c:v>
                </c:pt>
                <c:pt idx="1">
                  <c:v>2014FEB</c:v>
                </c:pt>
                <c:pt idx="2">
                  <c:v>2014MAR</c:v>
                </c:pt>
                <c:pt idx="3">
                  <c:v>2014APR</c:v>
                </c:pt>
                <c:pt idx="4">
                  <c:v>2014MAY</c:v>
                </c:pt>
                <c:pt idx="5">
                  <c:v>2014JUN</c:v>
                </c:pt>
                <c:pt idx="6">
                  <c:v>2014JUL</c:v>
                </c:pt>
                <c:pt idx="7">
                  <c:v>2014AUG</c:v>
                </c:pt>
                <c:pt idx="8">
                  <c:v>2014SEP</c:v>
                </c:pt>
                <c:pt idx="9">
                  <c:v>2014OCT</c:v>
                </c:pt>
                <c:pt idx="10">
                  <c:v>2014NOV</c:v>
                </c:pt>
                <c:pt idx="11">
                  <c:v>2014DEC</c:v>
                </c:pt>
                <c:pt idx="12">
                  <c:v>2015JAN</c:v>
                </c:pt>
                <c:pt idx="13">
                  <c:v>2015FEB</c:v>
                </c:pt>
                <c:pt idx="14">
                  <c:v>2015MAR</c:v>
                </c:pt>
                <c:pt idx="15">
                  <c:v>2015APR</c:v>
                </c:pt>
                <c:pt idx="16">
                  <c:v>2015MAY</c:v>
                </c:pt>
                <c:pt idx="17">
                  <c:v>2015JUN</c:v>
                </c:pt>
                <c:pt idx="18">
                  <c:v>2015JUL</c:v>
                </c:pt>
                <c:pt idx="19">
                  <c:v>2015AUG</c:v>
                </c:pt>
                <c:pt idx="20">
                  <c:v>2015SEP</c:v>
                </c:pt>
                <c:pt idx="21">
                  <c:v>2015OCT</c:v>
                </c:pt>
                <c:pt idx="22">
                  <c:v>2015NOV</c:v>
                </c:pt>
                <c:pt idx="23">
                  <c:v>2015DEC</c:v>
                </c:pt>
                <c:pt idx="24">
                  <c:v>2016JAN</c:v>
                </c:pt>
                <c:pt idx="25">
                  <c:v>2016FEB</c:v>
                </c:pt>
                <c:pt idx="26">
                  <c:v>2016MAR</c:v>
                </c:pt>
                <c:pt idx="27">
                  <c:v>2016APR</c:v>
                </c:pt>
                <c:pt idx="28">
                  <c:v>2016MAY</c:v>
                </c:pt>
                <c:pt idx="29">
                  <c:v>2016JUN</c:v>
                </c:pt>
                <c:pt idx="30">
                  <c:v>2016JUL</c:v>
                </c:pt>
                <c:pt idx="31">
                  <c:v>2016AUG</c:v>
                </c:pt>
                <c:pt idx="32">
                  <c:v>2016SEP</c:v>
                </c:pt>
                <c:pt idx="33">
                  <c:v>2016OCT</c:v>
                </c:pt>
                <c:pt idx="34">
                  <c:v>2016NOV</c:v>
                </c:pt>
                <c:pt idx="35">
                  <c:v>2016DEC</c:v>
                </c:pt>
                <c:pt idx="36">
                  <c:v>2017JAN</c:v>
                </c:pt>
                <c:pt idx="37">
                  <c:v>2017FEB</c:v>
                </c:pt>
                <c:pt idx="38">
                  <c:v>2017MAR</c:v>
                </c:pt>
                <c:pt idx="39">
                  <c:v>2017APR</c:v>
                </c:pt>
                <c:pt idx="40">
                  <c:v>2017MAY</c:v>
                </c:pt>
                <c:pt idx="41">
                  <c:v>2017JUN</c:v>
                </c:pt>
                <c:pt idx="42">
                  <c:v>2017JUL</c:v>
                </c:pt>
                <c:pt idx="43">
                  <c:v>2017AUG</c:v>
                </c:pt>
                <c:pt idx="44">
                  <c:v>2017SEP</c:v>
                </c:pt>
                <c:pt idx="45">
                  <c:v>2017OCT</c:v>
                </c:pt>
                <c:pt idx="46">
                  <c:v>2017NOV</c:v>
                </c:pt>
                <c:pt idx="47">
                  <c:v>2017DEC</c:v>
                </c:pt>
                <c:pt idx="48">
                  <c:v>2018JAN</c:v>
                </c:pt>
                <c:pt idx="49">
                  <c:v>2018FEB</c:v>
                </c:pt>
                <c:pt idx="50">
                  <c:v>2018MAR</c:v>
                </c:pt>
                <c:pt idx="51">
                  <c:v>2018APR</c:v>
                </c:pt>
                <c:pt idx="52">
                  <c:v>2019MAY</c:v>
                </c:pt>
                <c:pt idx="53">
                  <c:v>2018JUN</c:v>
                </c:pt>
                <c:pt idx="54">
                  <c:v>2018JUL</c:v>
                </c:pt>
                <c:pt idx="55">
                  <c:v>2018AUG</c:v>
                </c:pt>
                <c:pt idx="56">
                  <c:v>2018SEP</c:v>
                </c:pt>
                <c:pt idx="57">
                  <c:v>2018OCT</c:v>
                </c:pt>
                <c:pt idx="58">
                  <c:v>2018NOV</c:v>
                </c:pt>
                <c:pt idx="59">
                  <c:v>2018DEC</c:v>
                </c:pt>
                <c:pt idx="60">
                  <c:v>2019JAN</c:v>
                </c:pt>
                <c:pt idx="61">
                  <c:v>2019FEB</c:v>
                </c:pt>
                <c:pt idx="62">
                  <c:v>2019MAR</c:v>
                </c:pt>
                <c:pt idx="63">
                  <c:v>2019APR</c:v>
                </c:pt>
                <c:pt idx="64">
                  <c:v>2019MAY</c:v>
                </c:pt>
                <c:pt idx="65">
                  <c:v>2019JUN</c:v>
                </c:pt>
                <c:pt idx="66">
                  <c:v>2019JUL</c:v>
                </c:pt>
                <c:pt idx="67">
                  <c:v>2019AUG</c:v>
                </c:pt>
                <c:pt idx="68">
                  <c:v>2019SEP</c:v>
                </c:pt>
                <c:pt idx="69">
                  <c:v>2019OCT</c:v>
                </c:pt>
                <c:pt idx="70">
                  <c:v>2019NOV</c:v>
                </c:pt>
                <c:pt idx="71">
                  <c:v>2019DEC</c:v>
                </c:pt>
                <c:pt idx="72">
                  <c:v>2020JAN</c:v>
                </c:pt>
                <c:pt idx="73">
                  <c:v>2020FEB</c:v>
                </c:pt>
                <c:pt idx="74">
                  <c:v>2020MAR</c:v>
                </c:pt>
                <c:pt idx="75">
                  <c:v>2020APR</c:v>
                </c:pt>
                <c:pt idx="76">
                  <c:v>2020MAY</c:v>
                </c:pt>
                <c:pt idx="77">
                  <c:v>2020JUN</c:v>
                </c:pt>
                <c:pt idx="78">
                  <c:v>2020JUL</c:v>
                </c:pt>
                <c:pt idx="79">
                  <c:v>2020AUG</c:v>
                </c:pt>
                <c:pt idx="80">
                  <c:v>2020SEP</c:v>
                </c:pt>
                <c:pt idx="81">
                  <c:v>2020OCT</c:v>
                </c:pt>
                <c:pt idx="82">
                  <c:v>2020NOV</c:v>
                </c:pt>
                <c:pt idx="83">
                  <c:v>2020DEC</c:v>
                </c:pt>
                <c:pt idx="84">
                  <c:v>2021JAN</c:v>
                </c:pt>
                <c:pt idx="85">
                  <c:v>2021FEB</c:v>
                </c:pt>
                <c:pt idx="86">
                  <c:v>2021MAR</c:v>
                </c:pt>
                <c:pt idx="87">
                  <c:v>2021APR</c:v>
                </c:pt>
                <c:pt idx="88">
                  <c:v>2021MAY</c:v>
                </c:pt>
                <c:pt idx="89">
                  <c:v>2021JUN</c:v>
                </c:pt>
                <c:pt idx="90">
                  <c:v>2021JUL</c:v>
                </c:pt>
                <c:pt idx="91">
                  <c:v>201AUG</c:v>
                </c:pt>
                <c:pt idx="92">
                  <c:v>2021SEP</c:v>
                </c:pt>
                <c:pt idx="93">
                  <c:v>2021OCT</c:v>
                </c:pt>
                <c:pt idx="94">
                  <c:v>2021NOV</c:v>
                </c:pt>
                <c:pt idx="95">
                  <c:v>2021DEC</c:v>
                </c:pt>
                <c:pt idx="96">
                  <c:v>2022JAN</c:v>
                </c:pt>
                <c:pt idx="97">
                  <c:v>2022FEB</c:v>
                </c:pt>
                <c:pt idx="98">
                  <c:v>2022MAR</c:v>
                </c:pt>
                <c:pt idx="99">
                  <c:v>2022APR</c:v>
                </c:pt>
                <c:pt idx="100">
                  <c:v>2022MAY</c:v>
                </c:pt>
                <c:pt idx="101">
                  <c:v>2022JUN</c:v>
                </c:pt>
                <c:pt idx="102">
                  <c:v>2022JUL</c:v>
                </c:pt>
                <c:pt idx="103">
                  <c:v>2022AUG</c:v>
                </c:pt>
                <c:pt idx="104">
                  <c:v>2022SEP</c:v>
                </c:pt>
                <c:pt idx="105">
                  <c:v>2022OCT</c:v>
                </c:pt>
                <c:pt idx="106">
                  <c:v>2022NOV</c:v>
                </c:pt>
                <c:pt idx="107">
                  <c:v>2022DEC</c:v>
                </c:pt>
                <c:pt idx="108">
                  <c:v>2023JAN</c:v>
                </c:pt>
                <c:pt idx="109">
                  <c:v>2023FEB</c:v>
                </c:pt>
                <c:pt idx="110">
                  <c:v>2023MAR</c:v>
                </c:pt>
                <c:pt idx="111">
                  <c:v>2023APR</c:v>
                </c:pt>
                <c:pt idx="112">
                  <c:v>2023MAY</c:v>
                </c:pt>
                <c:pt idx="113">
                  <c:v>2023JUN</c:v>
                </c:pt>
                <c:pt idx="114">
                  <c:v>2023JUL</c:v>
                </c:pt>
                <c:pt idx="115">
                  <c:v>2023AUG</c:v>
                </c:pt>
                <c:pt idx="116">
                  <c:v>2023SEP</c:v>
                </c:pt>
                <c:pt idx="117">
                  <c:v>2023OCT</c:v>
                </c:pt>
                <c:pt idx="118">
                  <c:v>2023NOV</c:v>
                </c:pt>
                <c:pt idx="119">
                  <c:v>2023DEC</c:v>
                </c:pt>
                <c:pt idx="120">
                  <c:v>2024JAN</c:v>
                </c:pt>
                <c:pt idx="121">
                  <c:v>2024FEB</c:v>
                </c:pt>
                <c:pt idx="122">
                  <c:v>2024MAR</c:v>
                </c:pt>
                <c:pt idx="123">
                  <c:v>2024APR</c:v>
                </c:pt>
                <c:pt idx="124">
                  <c:v>2024MAY</c:v>
                </c:pt>
                <c:pt idx="125">
                  <c:v>2024JUN</c:v>
                </c:pt>
                <c:pt idx="126">
                  <c:v>2024JUL</c:v>
                </c:pt>
                <c:pt idx="127">
                  <c:v>2024AUG</c:v>
                </c:pt>
                <c:pt idx="128">
                  <c:v>2024SEP</c:v>
                </c:pt>
                <c:pt idx="129">
                  <c:v>2024OCT</c:v>
                </c:pt>
                <c:pt idx="130">
                  <c:v>2024NOV</c:v>
                </c:pt>
                <c:pt idx="131">
                  <c:v>2024DEC</c:v>
                </c:pt>
                <c:pt idx="132">
                  <c:v>2025JAN</c:v>
                </c:pt>
                <c:pt idx="133">
                  <c:v>2025FEB</c:v>
                </c:pt>
                <c:pt idx="134">
                  <c:v>2025MAR</c:v>
                </c:pt>
                <c:pt idx="135">
                  <c:v>2025APR</c:v>
                </c:pt>
                <c:pt idx="136">
                  <c:v>2025MAY</c:v>
                </c:pt>
                <c:pt idx="137">
                  <c:v>2025JUN</c:v>
                </c:pt>
                <c:pt idx="138">
                  <c:v>2025JUL</c:v>
                </c:pt>
                <c:pt idx="139">
                  <c:v>2025AUG</c:v>
                </c:pt>
                <c:pt idx="140">
                  <c:v>2025SEP</c:v>
                </c:pt>
                <c:pt idx="141">
                  <c:v>2025OCT</c:v>
                </c:pt>
                <c:pt idx="142">
                  <c:v>2025NOV</c:v>
                </c:pt>
                <c:pt idx="143">
                  <c:v>2025DEC</c:v>
                </c:pt>
              </c:strCache>
            </c:strRef>
          </c:cat>
          <c:val>
            <c:numRef>
              <c:f>'Descrptive Analysis'!$D$2:$D$140</c:f>
              <c:numCache>
                <c:formatCode>General</c:formatCode>
                <c:ptCount val="139"/>
                <c:pt idx="0">
                  <c:v>275.05</c:v>
                </c:pt>
                <c:pt idx="1">
                  <c:v>278.12</c:v>
                </c:pt>
                <c:pt idx="2">
                  <c:v>286.38</c:v>
                </c:pt>
                <c:pt idx="3">
                  <c:v>281.14</c:v>
                </c:pt>
                <c:pt idx="4">
                  <c:v>279.5</c:v>
                </c:pt>
                <c:pt idx="5">
                  <c:v>290.25</c:v>
                </c:pt>
                <c:pt idx="6">
                  <c:v>268.33</c:v>
                </c:pt>
                <c:pt idx="7">
                  <c:v>257</c:v>
                </c:pt>
                <c:pt idx="8">
                  <c:v>240.5</c:v>
                </c:pt>
                <c:pt idx="9">
                  <c:v>265.75</c:v>
                </c:pt>
                <c:pt idx="10">
                  <c:v>252</c:v>
                </c:pt>
                <c:pt idx="11">
                  <c:v>248</c:v>
                </c:pt>
                <c:pt idx="12">
                  <c:v>302.5</c:v>
                </c:pt>
                <c:pt idx="13">
                  <c:v>266</c:v>
                </c:pt>
                <c:pt idx="14">
                  <c:v>234</c:v>
                </c:pt>
                <c:pt idx="15">
                  <c:v>211.5</c:v>
                </c:pt>
                <c:pt idx="16">
                  <c:v>217.75</c:v>
                </c:pt>
                <c:pt idx="17">
                  <c:v>224</c:v>
                </c:pt>
                <c:pt idx="18">
                  <c:v>235</c:v>
                </c:pt>
                <c:pt idx="19">
                  <c:v>228</c:v>
                </c:pt>
                <c:pt idx="20">
                  <c:v>223</c:v>
                </c:pt>
                <c:pt idx="21">
                  <c:v>231.5</c:v>
                </c:pt>
                <c:pt idx="22">
                  <c:v>213.91500000000002</c:v>
                </c:pt>
                <c:pt idx="23">
                  <c:v>196.33</c:v>
                </c:pt>
                <c:pt idx="24">
                  <c:v>191.16500000000002</c:v>
                </c:pt>
                <c:pt idx="25">
                  <c:v>186</c:v>
                </c:pt>
                <c:pt idx="26">
                  <c:v>190</c:v>
                </c:pt>
                <c:pt idx="27">
                  <c:v>230.5</c:v>
                </c:pt>
                <c:pt idx="28">
                  <c:v>240</c:v>
                </c:pt>
                <c:pt idx="29">
                  <c:v>255</c:v>
                </c:pt>
                <c:pt idx="30">
                  <c:v>243.33</c:v>
                </c:pt>
                <c:pt idx="31">
                  <c:v>215.5</c:v>
                </c:pt>
                <c:pt idx="32">
                  <c:v>218.5</c:v>
                </c:pt>
                <c:pt idx="33">
                  <c:v>232.25</c:v>
                </c:pt>
                <c:pt idx="34">
                  <c:v>250.88</c:v>
                </c:pt>
                <c:pt idx="35">
                  <c:v>283</c:v>
                </c:pt>
                <c:pt idx="36">
                  <c:v>324</c:v>
                </c:pt>
                <c:pt idx="37">
                  <c:v>329</c:v>
                </c:pt>
                <c:pt idx="38">
                  <c:v>308.75</c:v>
                </c:pt>
                <c:pt idx="39">
                  <c:v>312</c:v>
                </c:pt>
                <c:pt idx="40">
                  <c:v>343</c:v>
                </c:pt>
                <c:pt idx="41">
                  <c:v>322.5</c:v>
                </c:pt>
                <c:pt idx="42">
                  <c:v>328.5</c:v>
                </c:pt>
                <c:pt idx="43">
                  <c:v>329</c:v>
                </c:pt>
                <c:pt idx="44">
                  <c:v>328.5</c:v>
                </c:pt>
                <c:pt idx="45">
                  <c:v>328</c:v>
                </c:pt>
                <c:pt idx="46">
                  <c:v>320</c:v>
                </c:pt>
                <c:pt idx="47">
                  <c:v>324.7</c:v>
                </c:pt>
                <c:pt idx="48">
                  <c:v>295</c:v>
                </c:pt>
                <c:pt idx="49">
                  <c:v>252.5</c:v>
                </c:pt>
                <c:pt idx="50">
                  <c:v>258.75</c:v>
                </c:pt>
                <c:pt idx="51">
                  <c:v>245.5</c:v>
                </c:pt>
                <c:pt idx="52">
                  <c:v>265.25</c:v>
                </c:pt>
                <c:pt idx="53">
                  <c:v>285</c:v>
                </c:pt>
                <c:pt idx="54">
                  <c:v>275.75</c:v>
                </c:pt>
                <c:pt idx="55">
                  <c:v>266.5</c:v>
                </c:pt>
                <c:pt idx="56">
                  <c:v>257.25</c:v>
                </c:pt>
                <c:pt idx="57">
                  <c:v>248</c:v>
                </c:pt>
                <c:pt idx="58">
                  <c:v>252.5</c:v>
                </c:pt>
                <c:pt idx="59">
                  <c:v>257</c:v>
                </c:pt>
                <c:pt idx="60">
                  <c:v>242.5</c:v>
                </c:pt>
                <c:pt idx="61">
                  <c:v>237.13</c:v>
                </c:pt>
                <c:pt idx="62">
                  <c:v>243.565</c:v>
                </c:pt>
                <c:pt idx="63">
                  <c:v>250</c:v>
                </c:pt>
                <c:pt idx="64">
                  <c:v>264</c:v>
                </c:pt>
                <c:pt idx="65">
                  <c:v>278</c:v>
                </c:pt>
                <c:pt idx="66">
                  <c:v>275.33333333333331</c:v>
                </c:pt>
                <c:pt idx="67">
                  <c:v>272.66666666666669</c:v>
                </c:pt>
                <c:pt idx="68">
                  <c:v>270</c:v>
                </c:pt>
                <c:pt idx="69">
                  <c:v>295.7</c:v>
                </c:pt>
                <c:pt idx="70">
                  <c:v>321.39999999999998</c:v>
                </c:pt>
                <c:pt idx="71">
                  <c:v>308</c:v>
                </c:pt>
                <c:pt idx="72">
                  <c:v>315</c:v>
                </c:pt>
                <c:pt idx="73">
                  <c:v>263</c:v>
                </c:pt>
                <c:pt idx="74">
                  <c:v>273</c:v>
                </c:pt>
                <c:pt idx="75">
                  <c:v>274</c:v>
                </c:pt>
                <c:pt idx="76">
                  <c:v>275</c:v>
                </c:pt>
                <c:pt idx="77">
                  <c:v>276</c:v>
                </c:pt>
                <c:pt idx="78">
                  <c:v>277</c:v>
                </c:pt>
                <c:pt idx="79">
                  <c:v>278</c:v>
                </c:pt>
                <c:pt idx="80">
                  <c:v>307.75</c:v>
                </c:pt>
                <c:pt idx="81">
                  <c:v>337.5</c:v>
                </c:pt>
                <c:pt idx="82">
                  <c:v>375</c:v>
                </c:pt>
                <c:pt idx="83">
                  <c:v>390.5</c:v>
                </c:pt>
                <c:pt idx="84">
                  <c:v>434</c:v>
                </c:pt>
                <c:pt idx="85">
                  <c:v>416</c:v>
                </c:pt>
                <c:pt idx="86">
                  <c:v>409</c:v>
                </c:pt>
                <c:pt idx="87">
                  <c:v>410</c:v>
                </c:pt>
                <c:pt idx="88">
                  <c:v>432.5</c:v>
                </c:pt>
                <c:pt idx="89">
                  <c:v>450</c:v>
                </c:pt>
                <c:pt idx="90">
                  <c:v>442.5</c:v>
                </c:pt>
                <c:pt idx="91">
                  <c:v>435</c:v>
                </c:pt>
                <c:pt idx="92">
                  <c:v>442.67</c:v>
                </c:pt>
                <c:pt idx="93">
                  <c:v>463</c:v>
                </c:pt>
                <c:pt idx="94">
                  <c:v>463</c:v>
                </c:pt>
                <c:pt idx="95">
                  <c:v>463</c:v>
                </c:pt>
                <c:pt idx="96">
                  <c:v>440</c:v>
                </c:pt>
                <c:pt idx="97">
                  <c:v>471.5</c:v>
                </c:pt>
                <c:pt idx="98">
                  <c:v>503</c:v>
                </c:pt>
                <c:pt idx="99">
                  <c:v>629</c:v>
                </c:pt>
                <c:pt idx="100">
                  <c:v>686</c:v>
                </c:pt>
                <c:pt idx="101">
                  <c:v>743</c:v>
                </c:pt>
                <c:pt idx="102">
                  <c:v>701.5</c:v>
                </c:pt>
                <c:pt idx="103">
                  <c:v>660</c:v>
                </c:pt>
                <c:pt idx="104">
                  <c:v>574.75</c:v>
                </c:pt>
                <c:pt idx="105">
                  <c:v>489.5</c:v>
                </c:pt>
                <c:pt idx="106">
                  <c:v>515</c:v>
                </c:pt>
                <c:pt idx="107">
                  <c:v>473</c:v>
                </c:pt>
                <c:pt idx="108">
                  <c:v>476.5</c:v>
                </c:pt>
                <c:pt idx="109">
                  <c:v>465.66666666666669</c:v>
                </c:pt>
                <c:pt idx="110">
                  <c:v>454.83333333333331</c:v>
                </c:pt>
                <c:pt idx="111">
                  <c:v>444</c:v>
                </c:pt>
                <c:pt idx="112">
                  <c:v>479.33333333333331</c:v>
                </c:pt>
                <c:pt idx="113">
                  <c:v>514.66666666666663</c:v>
                </c:pt>
                <c:pt idx="114">
                  <c:v>550</c:v>
                </c:pt>
                <c:pt idx="115">
                  <c:v>500</c:v>
                </c:pt>
                <c:pt idx="116">
                  <c:v>545</c:v>
                </c:pt>
                <c:pt idx="117">
                  <c:v>565</c:v>
                </c:pt>
                <c:pt idx="118">
                  <c:v>585</c:v>
                </c:pt>
                <c:pt idx="119">
                  <c:v>605</c:v>
                </c:pt>
                <c:pt idx="120">
                  <c:v>625</c:v>
                </c:pt>
                <c:pt idx="121">
                  <c:v>633.33333333333337</c:v>
                </c:pt>
                <c:pt idx="122">
                  <c:v>629.16666666666674</c:v>
                </c:pt>
                <c:pt idx="123">
                  <c:v>625</c:v>
                </c:pt>
                <c:pt idx="124">
                  <c:v>633.33333333333337</c:v>
                </c:pt>
                <c:pt idx="125">
                  <c:v>641.66666666666663</c:v>
                </c:pt>
                <c:pt idx="126">
                  <c:v>650</c:v>
                </c:pt>
                <c:pt idx="127">
                  <c:v>685</c:v>
                </c:pt>
                <c:pt idx="128">
                  <c:v>720</c:v>
                </c:pt>
                <c:pt idx="129">
                  <c:v>708.75</c:v>
                </c:pt>
                <c:pt idx="130">
                  <c:v>697.5</c:v>
                </c:pt>
                <c:pt idx="131">
                  <c:v>686.25</c:v>
                </c:pt>
                <c:pt idx="132">
                  <c:v>675</c:v>
                </c:pt>
                <c:pt idx="133">
                  <c:v>661.66666666666663</c:v>
                </c:pt>
                <c:pt idx="134">
                  <c:v>648.33333333333337</c:v>
                </c:pt>
                <c:pt idx="135">
                  <c:v>635</c:v>
                </c:pt>
                <c:pt idx="136">
                  <c:v>651.25</c:v>
                </c:pt>
                <c:pt idx="137">
                  <c:v>667.5</c:v>
                </c:pt>
                <c:pt idx="138">
                  <c:v>683.75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8-48A3-B22B-1D0DB393E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333352"/>
        <c:axId val="638333680"/>
      </c:lineChart>
      <c:catAx>
        <c:axId val="638333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33680"/>
        <c:crosses val="autoZero"/>
        <c:auto val="1"/>
        <c:lblAlgn val="ctr"/>
        <c:lblOffset val="100"/>
        <c:noMultiLvlLbl val="0"/>
      </c:catAx>
      <c:valAx>
        <c:axId val="6383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3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of Monthly Log Returns – RSS1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Monthly Log Returns – RSS1</a:t>
          </a:r>
        </a:p>
      </cx:txPr>
    </cx:title>
    <cx:plotArea>
      <cx:plotAreaRegion>
        <cx:series layoutId="clusteredColumn" uniqueId="{73C8B9AA-44A2-46C9-A1E2-E4F4D0CB5610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Log Returns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 Returns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Monthly Log Returns – RSS3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Monthly Log Returns – RSS3</a:t>
          </a:r>
        </a:p>
      </cx:txPr>
    </cx:title>
    <cx:plotArea>
      <cx:plotAreaRegion>
        <cx:series layoutId="clusteredColumn" uniqueId="{382E25B5-26C6-40A6-AF7E-587A9E177ABA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Log Returns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 Returns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</xdr:row>
      <xdr:rowOff>175260</xdr:rowOff>
    </xdr:from>
    <xdr:to>
      <xdr:col>10</xdr:col>
      <xdr:colOff>998220</xdr:colOff>
      <xdr:row>27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D02D32-05F6-450E-90D0-5F2D51CBF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1181100</xdr:colOff>
      <xdr:row>13</xdr:row>
      <xdr:rowOff>0</xdr:rowOff>
    </xdr:from>
    <xdr:to>
      <xdr:col>14</xdr:col>
      <xdr:colOff>2194560</xdr:colOff>
      <xdr:row>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A86BACB-5122-4A2A-8031-73CEEE4EE1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5100" y="23774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12</xdr:row>
      <xdr:rowOff>175260</xdr:rowOff>
    </xdr:from>
    <xdr:to>
      <xdr:col>20</xdr:col>
      <xdr:colOff>403860</xdr:colOff>
      <xdr:row>27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741A8E0-92ED-4418-BD85-A9269EDBB0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00960" y="23698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4EC2-FB91-45C3-9180-A202C76AB89C}">
  <dimension ref="A1:J146"/>
  <sheetViews>
    <sheetView topLeftCell="A126" zoomScale="103" workbookViewId="0">
      <selection activeCell="F141" sqref="F141:F146"/>
    </sheetView>
  </sheetViews>
  <sheetFormatPr defaultRowHeight="14.4" x14ac:dyDescent="0.3"/>
  <cols>
    <col min="1" max="1" width="9.5546875" customWidth="1"/>
    <col min="2" max="2" width="19.88671875" bestFit="1" customWidth="1"/>
    <col min="3" max="3" width="18.44140625" customWidth="1"/>
    <col min="4" max="4" width="24.109375" customWidth="1"/>
    <col min="5" max="5" width="17.109375" customWidth="1"/>
    <col min="6" max="6" width="11.109375" customWidth="1"/>
    <col min="11" max="11" width="10" bestFit="1" customWidth="1"/>
    <col min="12" max="12" width="11.77734375" bestFit="1" customWidth="1"/>
  </cols>
  <sheetData>
    <row r="1" spans="1:6" ht="22.2" customHeight="1" x14ac:dyDescent="0.3">
      <c r="A1" s="15" t="s">
        <v>148</v>
      </c>
      <c r="B1" s="15"/>
      <c r="C1" s="15"/>
      <c r="D1" s="15"/>
      <c r="E1" s="15"/>
      <c r="F1" s="15"/>
    </row>
    <row r="2" spans="1:6" x14ac:dyDescent="0.3">
      <c r="A2" s="3" t="s">
        <v>0</v>
      </c>
      <c r="B2" s="3" t="s">
        <v>142</v>
      </c>
      <c r="C2" s="3" t="s">
        <v>141</v>
      </c>
      <c r="D2" s="3" t="s">
        <v>143</v>
      </c>
      <c r="E2" s="3" t="s">
        <v>144</v>
      </c>
      <c r="F2" s="3" t="s">
        <v>146</v>
      </c>
    </row>
    <row r="3" spans="1:6" x14ac:dyDescent="0.3">
      <c r="A3" s="5" t="s">
        <v>1</v>
      </c>
      <c r="B3" s="5">
        <v>321.33999999999997</v>
      </c>
      <c r="C3" s="5">
        <v>321.33999999999997</v>
      </c>
      <c r="D3" s="5"/>
      <c r="E3" s="5">
        <f>IF(NOT(ISNUMBER(D3)),C3,"")</f>
        <v>321.33999999999997</v>
      </c>
      <c r="F3" s="5">
        <v>321.33999999999997</v>
      </c>
    </row>
    <row r="4" spans="1:6" x14ac:dyDescent="0.3">
      <c r="A4" s="5" t="s">
        <v>2</v>
      </c>
      <c r="B4" s="5">
        <v>294.69</v>
      </c>
      <c r="C4" s="5">
        <v>294.69</v>
      </c>
      <c r="D4" s="5"/>
      <c r="E4" s="5">
        <f t="shared" ref="E4:E67" si="0">IF(NOT(ISNUMBER(D4)),C4,"")</f>
        <v>294.69</v>
      </c>
      <c r="F4" s="5">
        <v>294.69</v>
      </c>
    </row>
    <row r="5" spans="1:6" x14ac:dyDescent="0.3">
      <c r="A5" s="5" t="s">
        <v>3</v>
      </c>
      <c r="B5" s="5">
        <v>301.5</v>
      </c>
      <c r="C5" s="5">
        <v>301.5</v>
      </c>
      <c r="D5" s="5"/>
      <c r="E5" s="5">
        <f t="shared" si="0"/>
        <v>301.5</v>
      </c>
      <c r="F5" s="5">
        <v>301.5</v>
      </c>
    </row>
    <row r="6" spans="1:6" x14ac:dyDescent="0.3">
      <c r="A6" s="5" t="s">
        <v>4</v>
      </c>
      <c r="B6" s="5">
        <v>281.27999999999997</v>
      </c>
      <c r="C6" s="5">
        <v>281.27999999999997</v>
      </c>
      <c r="D6" s="5"/>
      <c r="E6" s="5">
        <f t="shared" si="0"/>
        <v>281.27999999999997</v>
      </c>
      <c r="F6" s="5">
        <v>281.27999999999997</v>
      </c>
    </row>
    <row r="7" spans="1:6" x14ac:dyDescent="0.3">
      <c r="A7" s="5" t="s">
        <v>5</v>
      </c>
      <c r="B7" s="5">
        <v>289.54000000000002</v>
      </c>
      <c r="C7" s="5">
        <v>289.54000000000002</v>
      </c>
      <c r="D7" s="5"/>
      <c r="E7" s="5">
        <f t="shared" si="0"/>
        <v>289.54000000000002</v>
      </c>
      <c r="F7" s="5">
        <v>289.54000000000002</v>
      </c>
    </row>
    <row r="8" spans="1:6" x14ac:dyDescent="0.3">
      <c r="A8" s="5" t="s">
        <v>6</v>
      </c>
      <c r="B8" s="5">
        <v>313.47000000000003</v>
      </c>
      <c r="C8" s="5">
        <v>313.47000000000003</v>
      </c>
      <c r="D8" s="5"/>
      <c r="E8" s="5">
        <f t="shared" si="0"/>
        <v>313.47000000000003</v>
      </c>
      <c r="F8" s="5">
        <v>313.47000000000003</v>
      </c>
    </row>
    <row r="9" spans="1:6" x14ac:dyDescent="0.3">
      <c r="A9" s="5" t="s">
        <v>7</v>
      </c>
      <c r="B9" s="5">
        <v>289.86</v>
      </c>
      <c r="C9" s="5">
        <v>289.86</v>
      </c>
      <c r="D9" s="5"/>
      <c r="E9" s="5">
        <f t="shared" si="0"/>
        <v>289.86</v>
      </c>
      <c r="F9" s="5">
        <v>289.86</v>
      </c>
    </row>
    <row r="10" spans="1:6" x14ac:dyDescent="0.3">
      <c r="A10" s="5" t="s">
        <v>8</v>
      </c>
      <c r="B10" s="5">
        <v>263.52</v>
      </c>
      <c r="C10" s="5">
        <v>263.52</v>
      </c>
      <c r="D10" s="5"/>
      <c r="E10" s="5">
        <f t="shared" si="0"/>
        <v>263.52</v>
      </c>
      <c r="F10" s="5">
        <v>263.52</v>
      </c>
    </row>
    <row r="11" spans="1:6" x14ac:dyDescent="0.3">
      <c r="A11" s="5" t="s">
        <v>9</v>
      </c>
      <c r="B11" s="5">
        <v>261.08</v>
      </c>
      <c r="C11" s="5">
        <v>261.08</v>
      </c>
      <c r="D11" s="5"/>
      <c r="E11" s="5">
        <f t="shared" si="0"/>
        <v>261.08</v>
      </c>
      <c r="F11" s="5">
        <v>261.08</v>
      </c>
    </row>
    <row r="12" spans="1:6" x14ac:dyDescent="0.3">
      <c r="A12" s="5" t="s">
        <v>10</v>
      </c>
      <c r="B12" s="5">
        <v>286.8</v>
      </c>
      <c r="C12" s="5">
        <v>286.8</v>
      </c>
      <c r="D12" s="5"/>
      <c r="E12" s="5">
        <f t="shared" si="0"/>
        <v>286.8</v>
      </c>
      <c r="F12" s="5">
        <v>286.8</v>
      </c>
    </row>
    <row r="13" spans="1:6" x14ac:dyDescent="0.3">
      <c r="A13" s="5" t="s">
        <v>11</v>
      </c>
      <c r="B13" s="5">
        <v>263.20999999999998</v>
      </c>
      <c r="C13" s="5">
        <v>263.20999999999998</v>
      </c>
      <c r="D13" s="5"/>
      <c r="E13" s="5">
        <f t="shared" si="0"/>
        <v>263.20999999999998</v>
      </c>
      <c r="F13" s="5">
        <v>263.20999999999998</v>
      </c>
    </row>
    <row r="14" spans="1:6" x14ac:dyDescent="0.3">
      <c r="A14" s="5" t="s">
        <v>12</v>
      </c>
      <c r="B14" s="5">
        <v>262.83</v>
      </c>
      <c r="C14" s="5">
        <v>262.83</v>
      </c>
      <c r="D14" s="5"/>
      <c r="E14" s="5">
        <f t="shared" si="0"/>
        <v>262.83</v>
      </c>
      <c r="F14" s="5">
        <v>262.83</v>
      </c>
    </row>
    <row r="15" spans="1:6" x14ac:dyDescent="0.3">
      <c r="A15" s="5" t="s">
        <v>13</v>
      </c>
      <c r="B15" s="5">
        <v>304.83</v>
      </c>
      <c r="C15" s="5">
        <v>304.83</v>
      </c>
      <c r="D15" s="5"/>
      <c r="E15" s="5">
        <f t="shared" si="0"/>
        <v>304.83</v>
      </c>
      <c r="F15" s="5">
        <v>304.83</v>
      </c>
    </row>
    <row r="16" spans="1:6" x14ac:dyDescent="0.3">
      <c r="A16" s="5" t="s">
        <v>14</v>
      </c>
      <c r="B16" s="5">
        <v>275.75</v>
      </c>
      <c r="C16" s="5">
        <v>275.75</v>
      </c>
      <c r="D16" s="5"/>
      <c r="E16" s="5">
        <f t="shared" si="0"/>
        <v>275.75</v>
      </c>
      <c r="F16" s="5">
        <v>275.75</v>
      </c>
    </row>
    <row r="17" spans="1:6" x14ac:dyDescent="0.3">
      <c r="A17" s="5" t="s">
        <v>15</v>
      </c>
      <c r="B17" s="5">
        <v>244.3</v>
      </c>
      <c r="C17" s="5">
        <v>244.3</v>
      </c>
      <c r="D17" s="5"/>
      <c r="E17" s="5">
        <f t="shared" si="0"/>
        <v>244.3</v>
      </c>
      <c r="F17" s="5">
        <v>244.3</v>
      </c>
    </row>
    <row r="18" spans="1:6" x14ac:dyDescent="0.3">
      <c r="A18" s="5" t="s">
        <v>16</v>
      </c>
      <c r="B18" s="5">
        <v>219.3</v>
      </c>
      <c r="C18" s="5">
        <v>219.3</v>
      </c>
      <c r="D18" s="5"/>
      <c r="E18" s="5">
        <f t="shared" si="0"/>
        <v>219.3</v>
      </c>
      <c r="F18" s="5">
        <v>219.3</v>
      </c>
    </row>
    <row r="19" spans="1:6" x14ac:dyDescent="0.3">
      <c r="A19" s="5" t="s">
        <v>17</v>
      </c>
      <c r="B19" s="5">
        <v>233.75</v>
      </c>
      <c r="C19" s="5">
        <v>233.75</v>
      </c>
      <c r="D19" s="5"/>
      <c r="E19" s="5">
        <f t="shared" si="0"/>
        <v>233.75</v>
      </c>
      <c r="F19" s="5">
        <v>233.75</v>
      </c>
    </row>
    <row r="20" spans="1:6" x14ac:dyDescent="0.3">
      <c r="A20" s="5" t="s">
        <v>18</v>
      </c>
      <c r="B20" s="5">
        <v>235</v>
      </c>
      <c r="C20" s="5">
        <v>235</v>
      </c>
      <c r="D20" s="5"/>
      <c r="E20" s="5">
        <f t="shared" si="0"/>
        <v>235</v>
      </c>
      <c r="F20" s="5">
        <v>235</v>
      </c>
    </row>
    <row r="21" spans="1:6" x14ac:dyDescent="0.3">
      <c r="A21" s="5" t="s">
        <v>19</v>
      </c>
      <c r="B21" s="5">
        <v>243</v>
      </c>
      <c r="C21" s="5">
        <v>243</v>
      </c>
      <c r="D21" s="5"/>
      <c r="E21" s="5">
        <f t="shared" si="0"/>
        <v>243</v>
      </c>
      <c r="F21" s="5">
        <v>243</v>
      </c>
    </row>
    <row r="22" spans="1:6" x14ac:dyDescent="0.3">
      <c r="A22" s="5" t="s">
        <v>20</v>
      </c>
      <c r="B22" s="5">
        <v>243.33</v>
      </c>
      <c r="C22" s="5">
        <v>243.33</v>
      </c>
      <c r="D22" s="5"/>
      <c r="E22" s="5">
        <f t="shared" si="0"/>
        <v>243.33</v>
      </c>
      <c r="F22" s="5">
        <v>243.33</v>
      </c>
    </row>
    <row r="23" spans="1:6" x14ac:dyDescent="0.3">
      <c r="A23" s="5" t="s">
        <v>21</v>
      </c>
      <c r="B23" s="5">
        <v>238.83</v>
      </c>
      <c r="C23" s="5">
        <v>238.83</v>
      </c>
      <c r="D23" s="5"/>
      <c r="E23" s="5">
        <f t="shared" si="0"/>
        <v>238.83</v>
      </c>
      <c r="F23" s="5">
        <v>238.83</v>
      </c>
    </row>
    <row r="24" spans="1:6" x14ac:dyDescent="0.3">
      <c r="A24" s="5" t="s">
        <v>22</v>
      </c>
      <c r="B24" s="5">
        <v>241</v>
      </c>
      <c r="C24" s="5">
        <v>241</v>
      </c>
      <c r="D24" s="5"/>
      <c r="E24" s="5">
        <f t="shared" si="0"/>
        <v>241</v>
      </c>
      <c r="F24" s="5">
        <v>241</v>
      </c>
    </row>
    <row r="25" spans="1:6" x14ac:dyDescent="0.3">
      <c r="A25" s="10" t="s">
        <v>23</v>
      </c>
      <c r="B25" s="10" t="s">
        <v>139</v>
      </c>
      <c r="C25" s="10" t="s">
        <v>139</v>
      </c>
      <c r="D25" s="10">
        <f>(C26-C24)/2</f>
        <v>-7.4150000000000063</v>
      </c>
      <c r="E25" s="10">
        <f>C24+D25</f>
        <v>233.58499999999998</v>
      </c>
      <c r="F25" s="5">
        <v>233.58499999999998</v>
      </c>
    </row>
    <row r="26" spans="1:6" x14ac:dyDescent="0.3">
      <c r="A26" s="5" t="s">
        <v>24</v>
      </c>
      <c r="B26" s="5">
        <v>226.17</v>
      </c>
      <c r="C26" s="5">
        <v>226.17</v>
      </c>
      <c r="D26" s="5"/>
      <c r="E26" s="5">
        <f t="shared" si="0"/>
        <v>226.17</v>
      </c>
      <c r="F26" s="5">
        <v>226.17</v>
      </c>
    </row>
    <row r="27" spans="1:6" x14ac:dyDescent="0.3">
      <c r="A27" s="5" t="s">
        <v>25</v>
      </c>
      <c r="B27" s="5">
        <v>228</v>
      </c>
      <c r="C27" s="5">
        <v>228</v>
      </c>
      <c r="D27" s="5"/>
      <c r="E27" s="5">
        <f t="shared" si="0"/>
        <v>228</v>
      </c>
      <c r="F27" s="5">
        <v>228</v>
      </c>
    </row>
    <row r="28" spans="1:6" x14ac:dyDescent="0.3">
      <c r="A28" s="5" t="s">
        <v>26</v>
      </c>
      <c r="B28" s="5">
        <v>194</v>
      </c>
      <c r="C28" s="5">
        <v>194</v>
      </c>
      <c r="D28" s="5"/>
      <c r="E28" s="5">
        <f t="shared" si="0"/>
        <v>194</v>
      </c>
      <c r="F28" s="5">
        <v>194</v>
      </c>
    </row>
    <row r="29" spans="1:6" x14ac:dyDescent="0.3">
      <c r="A29" s="5" t="s">
        <v>27</v>
      </c>
      <c r="B29" s="5">
        <v>208.68</v>
      </c>
      <c r="C29" s="5">
        <v>208.68</v>
      </c>
      <c r="D29" s="5"/>
      <c r="E29" s="5">
        <f t="shared" si="0"/>
        <v>208.68</v>
      </c>
      <c r="F29" s="5">
        <v>208.68</v>
      </c>
    </row>
    <row r="30" spans="1:6" x14ac:dyDescent="0.3">
      <c r="A30" s="5" t="s">
        <v>28</v>
      </c>
      <c r="B30" s="5">
        <v>232.63</v>
      </c>
      <c r="C30" s="5">
        <v>232.63</v>
      </c>
      <c r="D30" s="5"/>
      <c r="E30" s="5">
        <f t="shared" si="0"/>
        <v>232.63</v>
      </c>
      <c r="F30" s="5">
        <v>232.63</v>
      </c>
    </row>
    <row r="31" spans="1:6" x14ac:dyDescent="0.3">
      <c r="A31" s="5" t="s">
        <v>29</v>
      </c>
      <c r="B31" s="5">
        <v>245.33</v>
      </c>
      <c r="C31" s="5">
        <v>245.33</v>
      </c>
      <c r="D31" s="5"/>
      <c r="E31" s="5">
        <f t="shared" si="0"/>
        <v>245.33</v>
      </c>
      <c r="F31" s="5">
        <v>245.33</v>
      </c>
    </row>
    <row r="32" spans="1:6" x14ac:dyDescent="0.3">
      <c r="A32" s="5" t="s">
        <v>30</v>
      </c>
      <c r="B32" s="5">
        <v>268.92</v>
      </c>
      <c r="C32" s="5">
        <v>268.92</v>
      </c>
      <c r="D32" s="5"/>
      <c r="E32" s="5">
        <f t="shared" si="0"/>
        <v>268.92</v>
      </c>
      <c r="F32" s="5">
        <v>268.92</v>
      </c>
    </row>
    <row r="33" spans="1:6" x14ac:dyDescent="0.3">
      <c r="A33" s="5" t="s">
        <v>31</v>
      </c>
      <c r="B33" s="5">
        <v>254.38</v>
      </c>
      <c r="C33" s="5">
        <v>254.38</v>
      </c>
      <c r="D33" s="5"/>
      <c r="E33" s="5">
        <f t="shared" si="0"/>
        <v>254.38</v>
      </c>
      <c r="F33" s="5">
        <v>254.38</v>
      </c>
    </row>
    <row r="34" spans="1:6" x14ac:dyDescent="0.3">
      <c r="A34" s="5" t="s">
        <v>32</v>
      </c>
      <c r="B34" s="5">
        <v>229.33</v>
      </c>
      <c r="C34" s="5">
        <v>229.33</v>
      </c>
      <c r="D34" s="5"/>
      <c r="E34" s="5">
        <f t="shared" si="0"/>
        <v>229.33</v>
      </c>
      <c r="F34" s="5">
        <v>229.33</v>
      </c>
    </row>
    <row r="35" spans="1:6" x14ac:dyDescent="0.3">
      <c r="A35" s="5" t="s">
        <v>33</v>
      </c>
      <c r="B35" s="5">
        <v>225.23</v>
      </c>
      <c r="C35" s="5">
        <v>225.23</v>
      </c>
      <c r="D35" s="5"/>
      <c r="E35" s="5">
        <f t="shared" si="0"/>
        <v>225.23</v>
      </c>
      <c r="F35" s="5">
        <v>225.23</v>
      </c>
    </row>
    <row r="36" spans="1:6" x14ac:dyDescent="0.3">
      <c r="A36" s="5" t="s">
        <v>34</v>
      </c>
      <c r="B36" s="5">
        <v>236.4</v>
      </c>
      <c r="C36" s="5">
        <v>236.4</v>
      </c>
      <c r="D36" s="5"/>
      <c r="E36" s="5">
        <f t="shared" si="0"/>
        <v>236.4</v>
      </c>
      <c r="F36" s="5">
        <v>236.4</v>
      </c>
    </row>
    <row r="37" spans="1:6" x14ac:dyDescent="0.3">
      <c r="A37" s="5" t="s">
        <v>35</v>
      </c>
      <c r="B37" s="5">
        <v>256.57</v>
      </c>
      <c r="C37" s="5">
        <v>256.57</v>
      </c>
      <c r="D37" s="5"/>
      <c r="E37" s="5">
        <f t="shared" si="0"/>
        <v>256.57</v>
      </c>
      <c r="F37" s="5">
        <v>256.57</v>
      </c>
    </row>
    <row r="38" spans="1:6" x14ac:dyDescent="0.3">
      <c r="A38" s="5" t="s">
        <v>36</v>
      </c>
      <c r="B38" s="5">
        <v>285.20999999999998</v>
      </c>
      <c r="C38" s="5">
        <v>285.20999999999998</v>
      </c>
      <c r="D38" s="5"/>
      <c r="E38" s="5">
        <f t="shared" si="0"/>
        <v>285.20999999999998</v>
      </c>
      <c r="F38" s="5">
        <v>285.20999999999998</v>
      </c>
    </row>
    <row r="39" spans="1:6" x14ac:dyDescent="0.3">
      <c r="A39" s="5" t="s">
        <v>37</v>
      </c>
      <c r="B39" s="5">
        <v>328.71</v>
      </c>
      <c r="C39" s="5">
        <v>328.71</v>
      </c>
      <c r="D39" s="5"/>
      <c r="E39" s="5">
        <f t="shared" si="0"/>
        <v>328.71</v>
      </c>
      <c r="F39" s="5">
        <v>328.71</v>
      </c>
    </row>
    <row r="40" spans="1:6" x14ac:dyDescent="0.3">
      <c r="A40" s="5" t="s">
        <v>38</v>
      </c>
      <c r="B40" s="5">
        <v>338.67</v>
      </c>
      <c r="C40" s="5">
        <v>338.67</v>
      </c>
      <c r="D40" s="5"/>
      <c r="E40" s="5">
        <f t="shared" si="0"/>
        <v>338.67</v>
      </c>
      <c r="F40" s="5">
        <v>338.67</v>
      </c>
    </row>
    <row r="41" spans="1:6" x14ac:dyDescent="0.3">
      <c r="A41" s="5" t="s">
        <v>39</v>
      </c>
      <c r="B41" s="5">
        <v>316.20999999999998</v>
      </c>
      <c r="C41" s="5">
        <v>316.20999999999998</v>
      </c>
      <c r="D41" s="5"/>
      <c r="E41" s="5">
        <f t="shared" si="0"/>
        <v>316.20999999999998</v>
      </c>
      <c r="F41" s="5">
        <v>316.20999999999998</v>
      </c>
    </row>
    <row r="42" spans="1:6" x14ac:dyDescent="0.3">
      <c r="A42" s="5" t="s">
        <v>40</v>
      </c>
      <c r="B42" s="5">
        <v>322.06</v>
      </c>
      <c r="C42" s="5">
        <v>322.06</v>
      </c>
      <c r="D42" s="5"/>
      <c r="E42" s="5">
        <f t="shared" si="0"/>
        <v>322.06</v>
      </c>
      <c r="F42" s="5">
        <v>322.06</v>
      </c>
    </row>
    <row r="43" spans="1:6" x14ac:dyDescent="0.3">
      <c r="A43" s="5" t="s">
        <v>41</v>
      </c>
      <c r="B43" s="5">
        <v>340.43</v>
      </c>
      <c r="C43" s="5">
        <v>340.43</v>
      </c>
      <c r="D43" s="5"/>
      <c r="E43" s="5">
        <f t="shared" si="0"/>
        <v>340.43</v>
      </c>
      <c r="F43" s="5">
        <v>340.43</v>
      </c>
    </row>
    <row r="44" spans="1:6" x14ac:dyDescent="0.3">
      <c r="A44" s="5" t="s">
        <v>42</v>
      </c>
      <c r="B44" s="5">
        <v>343.8</v>
      </c>
      <c r="C44" s="5">
        <v>343.8</v>
      </c>
      <c r="D44" s="5"/>
      <c r="E44" s="5">
        <f t="shared" si="0"/>
        <v>343.8</v>
      </c>
      <c r="F44" s="5">
        <v>343.8</v>
      </c>
    </row>
    <row r="45" spans="1:6" x14ac:dyDescent="0.3">
      <c r="A45" s="5" t="s">
        <v>43</v>
      </c>
      <c r="B45" s="5">
        <v>352.5</v>
      </c>
      <c r="C45" s="5">
        <v>352.5</v>
      </c>
      <c r="D45" s="5"/>
      <c r="E45" s="5">
        <f t="shared" si="0"/>
        <v>352.5</v>
      </c>
      <c r="F45" s="5">
        <v>352.5</v>
      </c>
    </row>
    <row r="46" spans="1:6" x14ac:dyDescent="0.3">
      <c r="A46" s="5" t="s">
        <v>44</v>
      </c>
      <c r="B46" s="5">
        <v>346.38</v>
      </c>
      <c r="C46" s="5">
        <v>346.38</v>
      </c>
      <c r="D46" s="5"/>
      <c r="E46" s="5">
        <f t="shared" si="0"/>
        <v>346.38</v>
      </c>
      <c r="F46" s="5">
        <v>346.38</v>
      </c>
    </row>
    <row r="47" spans="1:6" x14ac:dyDescent="0.3">
      <c r="A47" s="5" t="s">
        <v>45</v>
      </c>
      <c r="B47" s="5">
        <v>343.5</v>
      </c>
      <c r="C47" s="5">
        <v>343.5</v>
      </c>
      <c r="D47" s="5"/>
      <c r="E47" s="5">
        <f t="shared" si="0"/>
        <v>343.5</v>
      </c>
      <c r="F47" s="5">
        <v>343.5</v>
      </c>
    </row>
    <row r="48" spans="1:6" x14ac:dyDescent="0.3">
      <c r="A48" s="5" t="s">
        <v>46</v>
      </c>
      <c r="B48" s="5">
        <v>345.67</v>
      </c>
      <c r="C48" s="5">
        <v>345.67</v>
      </c>
      <c r="D48" s="5"/>
      <c r="E48" s="5">
        <f t="shared" si="0"/>
        <v>345.67</v>
      </c>
      <c r="F48" s="5">
        <v>345.67</v>
      </c>
    </row>
    <row r="49" spans="1:6" x14ac:dyDescent="0.3">
      <c r="A49" s="5" t="s">
        <v>47</v>
      </c>
      <c r="B49" s="5">
        <v>336.5</v>
      </c>
      <c r="C49" s="5">
        <v>336.5</v>
      </c>
      <c r="D49" s="5"/>
      <c r="E49" s="5">
        <f t="shared" si="0"/>
        <v>336.5</v>
      </c>
      <c r="F49" s="5">
        <v>336.5</v>
      </c>
    </row>
    <row r="50" spans="1:6" x14ac:dyDescent="0.3">
      <c r="A50" s="5" t="s">
        <v>48</v>
      </c>
      <c r="B50" s="5">
        <v>332.8</v>
      </c>
      <c r="C50" s="5">
        <v>332.8</v>
      </c>
      <c r="D50" s="5"/>
      <c r="E50" s="5">
        <f t="shared" si="0"/>
        <v>332.8</v>
      </c>
      <c r="F50" s="5">
        <v>332.8</v>
      </c>
    </row>
    <row r="51" spans="1:6" x14ac:dyDescent="0.3">
      <c r="A51" s="5" t="s">
        <v>49</v>
      </c>
      <c r="B51" s="5">
        <v>311.17</v>
      </c>
      <c r="C51" s="5">
        <v>311.17</v>
      </c>
      <c r="D51" s="5"/>
      <c r="E51" s="5">
        <f t="shared" si="0"/>
        <v>311.17</v>
      </c>
      <c r="F51" s="5">
        <v>311.17</v>
      </c>
    </row>
    <row r="52" spans="1:6" x14ac:dyDescent="0.3">
      <c r="A52" s="5" t="s">
        <v>50</v>
      </c>
      <c r="B52" s="5">
        <v>278.83</v>
      </c>
      <c r="C52" s="5">
        <v>278.83</v>
      </c>
      <c r="D52" s="5"/>
      <c r="E52" s="5">
        <f t="shared" si="0"/>
        <v>278.83</v>
      </c>
      <c r="F52" s="5">
        <v>278.83</v>
      </c>
    </row>
    <row r="53" spans="1:6" x14ac:dyDescent="0.3">
      <c r="A53" s="5" t="s">
        <v>51</v>
      </c>
      <c r="B53" s="5">
        <v>280.33</v>
      </c>
      <c r="C53" s="5">
        <v>280.33</v>
      </c>
      <c r="D53" s="5"/>
      <c r="E53" s="5">
        <f t="shared" si="0"/>
        <v>280.33</v>
      </c>
      <c r="F53" s="5">
        <v>280.33</v>
      </c>
    </row>
    <row r="54" spans="1:6" x14ac:dyDescent="0.3">
      <c r="A54" s="5" t="s">
        <v>52</v>
      </c>
      <c r="B54" s="5">
        <v>265</v>
      </c>
      <c r="C54" s="5">
        <v>265</v>
      </c>
      <c r="D54" s="5"/>
      <c r="E54" s="5">
        <f t="shared" si="0"/>
        <v>265</v>
      </c>
      <c r="F54" s="5">
        <v>265</v>
      </c>
    </row>
    <row r="55" spans="1:6" x14ac:dyDescent="0.3">
      <c r="A55" s="5" t="s">
        <v>53</v>
      </c>
      <c r="B55" s="5">
        <v>285.83</v>
      </c>
      <c r="C55" s="5">
        <v>285.83</v>
      </c>
      <c r="D55" s="5"/>
      <c r="E55" s="5">
        <f t="shared" si="0"/>
        <v>285.83</v>
      </c>
      <c r="F55" s="5">
        <v>285.83</v>
      </c>
    </row>
    <row r="56" spans="1:6" x14ac:dyDescent="0.3">
      <c r="A56" s="5" t="s">
        <v>54</v>
      </c>
      <c r="B56" s="5">
        <v>317.5</v>
      </c>
      <c r="C56" s="5">
        <v>317.5</v>
      </c>
      <c r="D56" s="5"/>
      <c r="E56" s="5">
        <f t="shared" si="0"/>
        <v>317.5</v>
      </c>
      <c r="F56" s="5">
        <v>317.5</v>
      </c>
    </row>
    <row r="57" spans="1:6" x14ac:dyDescent="0.3">
      <c r="A57" s="5" t="s">
        <v>55</v>
      </c>
      <c r="B57" s="5">
        <v>300</v>
      </c>
      <c r="C57" s="5">
        <v>300</v>
      </c>
      <c r="D57" s="5"/>
      <c r="E57" s="5">
        <f t="shared" si="0"/>
        <v>300</v>
      </c>
      <c r="F57" s="5">
        <v>300</v>
      </c>
    </row>
    <row r="58" spans="1:6" x14ac:dyDescent="0.3">
      <c r="A58" s="5" t="s">
        <v>56</v>
      </c>
      <c r="B58" s="5">
        <v>281.44</v>
      </c>
      <c r="C58" s="5">
        <v>281.44</v>
      </c>
      <c r="D58" s="5"/>
      <c r="E58" s="5">
        <f t="shared" si="0"/>
        <v>281.44</v>
      </c>
      <c r="F58" s="5">
        <v>281.44</v>
      </c>
    </row>
    <row r="59" spans="1:6" x14ac:dyDescent="0.3">
      <c r="A59" s="5" t="s">
        <v>57</v>
      </c>
      <c r="B59" s="5">
        <v>259.10000000000002</v>
      </c>
      <c r="C59" s="5">
        <v>259.10000000000002</v>
      </c>
      <c r="D59" s="5"/>
      <c r="E59" s="5">
        <f t="shared" si="0"/>
        <v>259.10000000000002</v>
      </c>
      <c r="F59" s="5">
        <v>259.10000000000002</v>
      </c>
    </row>
    <row r="60" spans="1:6" x14ac:dyDescent="0.3">
      <c r="A60" s="5" t="s">
        <v>58</v>
      </c>
      <c r="B60" s="5">
        <v>263.20999999999998</v>
      </c>
      <c r="C60" s="5">
        <v>263.20999999999998</v>
      </c>
      <c r="D60" s="5"/>
      <c r="E60" s="5">
        <f t="shared" si="0"/>
        <v>263.20999999999998</v>
      </c>
      <c r="F60" s="5">
        <v>263.20999999999998</v>
      </c>
    </row>
    <row r="61" spans="1:6" x14ac:dyDescent="0.3">
      <c r="A61" s="5" t="s">
        <v>59</v>
      </c>
      <c r="B61" s="5">
        <v>262.75</v>
      </c>
      <c r="C61" s="5">
        <v>262.75</v>
      </c>
      <c r="D61" s="5"/>
      <c r="E61" s="5">
        <f t="shared" si="0"/>
        <v>262.75</v>
      </c>
      <c r="F61" s="5">
        <v>262.75</v>
      </c>
    </row>
    <row r="62" spans="1:6" x14ac:dyDescent="0.3">
      <c r="A62" s="5" t="s">
        <v>60</v>
      </c>
      <c r="B62" s="5">
        <v>274.5</v>
      </c>
      <c r="C62" s="5">
        <v>274.5</v>
      </c>
      <c r="D62" s="5"/>
      <c r="E62" s="5">
        <f t="shared" si="0"/>
        <v>274.5</v>
      </c>
      <c r="F62" s="5">
        <v>274.5</v>
      </c>
    </row>
    <row r="63" spans="1:6" x14ac:dyDescent="0.3">
      <c r="A63" s="5" t="s">
        <v>61</v>
      </c>
      <c r="B63" s="5">
        <v>252.3</v>
      </c>
      <c r="C63" s="5">
        <v>252.3</v>
      </c>
      <c r="D63" s="5"/>
      <c r="E63" s="5">
        <f t="shared" si="0"/>
        <v>252.3</v>
      </c>
      <c r="F63" s="5">
        <v>252.3</v>
      </c>
    </row>
    <row r="64" spans="1:6" x14ac:dyDescent="0.3">
      <c r="A64" s="5" t="s">
        <v>62</v>
      </c>
      <c r="B64" s="5">
        <v>247.67</v>
      </c>
      <c r="C64" s="5">
        <v>247.67</v>
      </c>
      <c r="D64" s="5"/>
      <c r="E64" s="5">
        <f t="shared" si="0"/>
        <v>247.67</v>
      </c>
      <c r="F64" s="5">
        <v>247.67</v>
      </c>
    </row>
    <row r="65" spans="1:6" x14ac:dyDescent="0.3">
      <c r="A65" s="5" t="s">
        <v>63</v>
      </c>
      <c r="B65" s="5">
        <v>267.31</v>
      </c>
      <c r="C65" s="5">
        <v>267.31</v>
      </c>
      <c r="D65" s="5"/>
      <c r="E65" s="5">
        <f t="shared" si="0"/>
        <v>267.31</v>
      </c>
      <c r="F65" s="5">
        <v>267.31</v>
      </c>
    </row>
    <row r="66" spans="1:6" x14ac:dyDescent="0.3">
      <c r="A66" s="5" t="s">
        <v>64</v>
      </c>
      <c r="B66" s="5">
        <v>265.14999999999998</v>
      </c>
      <c r="C66" s="5">
        <v>265.14999999999998</v>
      </c>
      <c r="D66" s="5"/>
      <c r="E66" s="5">
        <f t="shared" si="0"/>
        <v>265.14999999999998</v>
      </c>
      <c r="F66" s="5">
        <v>265.14999999999998</v>
      </c>
    </row>
    <row r="67" spans="1:6" x14ac:dyDescent="0.3">
      <c r="A67" s="5" t="s">
        <v>53</v>
      </c>
      <c r="B67" s="5">
        <v>275.45999999999998</v>
      </c>
      <c r="C67" s="5">
        <v>275.45999999999998</v>
      </c>
      <c r="D67" s="5"/>
      <c r="E67" s="5">
        <f t="shared" si="0"/>
        <v>275.45999999999998</v>
      </c>
      <c r="F67" s="5">
        <v>275.45999999999998</v>
      </c>
    </row>
    <row r="68" spans="1:6" x14ac:dyDescent="0.3">
      <c r="A68" s="5" t="s">
        <v>65</v>
      </c>
      <c r="B68" s="5">
        <v>316.51</v>
      </c>
      <c r="C68" s="5">
        <v>316.51</v>
      </c>
      <c r="D68" s="5"/>
      <c r="E68" s="5">
        <f t="shared" ref="E68:E131" si="1">IF(NOT(ISNUMBER(D68)),C68,"")</f>
        <v>316.51</v>
      </c>
      <c r="F68" s="5">
        <v>316.51</v>
      </c>
    </row>
    <row r="69" spans="1:6" x14ac:dyDescent="0.3">
      <c r="A69" s="5" t="s">
        <v>66</v>
      </c>
      <c r="B69" s="5">
        <v>299.60000000000002</v>
      </c>
      <c r="C69" s="5">
        <v>299.60000000000002</v>
      </c>
      <c r="D69" s="5"/>
      <c r="E69" s="5">
        <f t="shared" si="1"/>
        <v>299.60000000000002</v>
      </c>
      <c r="F69" s="5">
        <v>299.60000000000002</v>
      </c>
    </row>
    <row r="70" spans="1:6" x14ac:dyDescent="0.3">
      <c r="A70" s="5" t="s">
        <v>67</v>
      </c>
      <c r="B70" s="5">
        <v>290.73</v>
      </c>
      <c r="C70" s="5">
        <v>290.73</v>
      </c>
      <c r="D70" s="5"/>
      <c r="E70" s="5">
        <f t="shared" si="1"/>
        <v>290.73</v>
      </c>
      <c r="F70" s="5">
        <v>290.73</v>
      </c>
    </row>
    <row r="71" spans="1:6" x14ac:dyDescent="0.3">
      <c r="A71" s="5" t="s">
        <v>68</v>
      </c>
      <c r="B71" s="5">
        <v>302.5</v>
      </c>
      <c r="C71" s="5">
        <v>302.5</v>
      </c>
      <c r="D71" s="5"/>
      <c r="E71" s="5">
        <f t="shared" si="1"/>
        <v>302.5</v>
      </c>
      <c r="F71" s="5">
        <v>302.5</v>
      </c>
    </row>
    <row r="72" spans="1:6" x14ac:dyDescent="0.3">
      <c r="A72" s="5" t="s">
        <v>69</v>
      </c>
      <c r="B72" s="5">
        <v>301.29000000000002</v>
      </c>
      <c r="C72" s="5">
        <v>301.29000000000002</v>
      </c>
      <c r="D72" s="5"/>
      <c r="E72" s="5">
        <f t="shared" si="1"/>
        <v>301.29000000000002</v>
      </c>
      <c r="F72" s="5">
        <v>301.29000000000002</v>
      </c>
    </row>
    <row r="73" spans="1:6" x14ac:dyDescent="0.3">
      <c r="A73" s="5" t="s">
        <v>70</v>
      </c>
      <c r="B73" s="5">
        <v>317.93</v>
      </c>
      <c r="C73" s="5">
        <v>317.93</v>
      </c>
      <c r="D73" s="5"/>
      <c r="E73" s="5">
        <f t="shared" si="1"/>
        <v>317.93</v>
      </c>
      <c r="F73" s="5">
        <v>317.93</v>
      </c>
    </row>
    <row r="74" spans="1:6" x14ac:dyDescent="0.3">
      <c r="A74" s="5" t="s">
        <v>71</v>
      </c>
      <c r="B74" s="5">
        <v>325.33999999999997</v>
      </c>
      <c r="C74" s="5">
        <v>325.33999999999997</v>
      </c>
      <c r="D74" s="5"/>
      <c r="E74" s="5">
        <f t="shared" si="1"/>
        <v>325.33999999999997</v>
      </c>
      <c r="F74" s="5">
        <v>325.33999999999997</v>
      </c>
    </row>
    <row r="75" spans="1:6" x14ac:dyDescent="0.3">
      <c r="A75" s="5" t="s">
        <v>72</v>
      </c>
      <c r="B75" s="5">
        <v>326.45999999999998</v>
      </c>
      <c r="C75" s="5">
        <v>326.45999999999998</v>
      </c>
      <c r="D75" s="5"/>
      <c r="E75" s="5">
        <f t="shared" si="1"/>
        <v>326.45999999999998</v>
      </c>
      <c r="F75" s="5">
        <v>326.45999999999998</v>
      </c>
    </row>
    <row r="76" spans="1:6" x14ac:dyDescent="0.3">
      <c r="A76" s="5" t="s">
        <v>73</v>
      </c>
      <c r="B76" s="5">
        <v>301.25</v>
      </c>
      <c r="C76" s="5">
        <v>301.25</v>
      </c>
      <c r="D76" s="5"/>
      <c r="E76" s="5">
        <f t="shared" si="1"/>
        <v>301.25</v>
      </c>
      <c r="F76" s="5">
        <v>301.25</v>
      </c>
    </row>
    <row r="77" spans="1:6" x14ac:dyDescent="0.3">
      <c r="A77" s="5" t="s">
        <v>74</v>
      </c>
      <c r="B77" s="5">
        <v>300</v>
      </c>
      <c r="C77" s="5">
        <v>300</v>
      </c>
      <c r="D77" s="5"/>
      <c r="E77" s="5">
        <f t="shared" si="1"/>
        <v>300</v>
      </c>
      <c r="F77" s="5">
        <v>300</v>
      </c>
    </row>
    <row r="78" spans="1:6" x14ac:dyDescent="0.3">
      <c r="A78" s="10" t="s">
        <v>75</v>
      </c>
      <c r="B78" s="10" t="s">
        <v>139</v>
      </c>
      <c r="C78" s="10" t="s">
        <v>139</v>
      </c>
      <c r="D78" s="10">
        <f>($C$83-$C$77)/6</f>
        <v>3.8333333333333335</v>
      </c>
      <c r="E78" s="10">
        <f>$C$77+D78</f>
        <v>303.83333333333331</v>
      </c>
      <c r="F78" s="5">
        <v>303.83333333333331</v>
      </c>
    </row>
    <row r="79" spans="1:6" x14ac:dyDescent="0.3">
      <c r="A79" s="10" t="s">
        <v>76</v>
      </c>
      <c r="B79" s="10" t="s">
        <v>139</v>
      </c>
      <c r="C79" s="10" t="s">
        <v>139</v>
      </c>
      <c r="D79" s="10">
        <f>($C$83-$C$77)*2/6</f>
        <v>7.666666666666667</v>
      </c>
      <c r="E79" s="10">
        <f t="shared" ref="E79:E82" si="2">$C$77+D79</f>
        <v>307.66666666666669</v>
      </c>
      <c r="F79" s="5">
        <v>307.66666666666669</v>
      </c>
    </row>
    <row r="80" spans="1:6" x14ac:dyDescent="0.3">
      <c r="A80" s="10" t="s">
        <v>77</v>
      </c>
      <c r="B80" s="10" t="s">
        <v>139</v>
      </c>
      <c r="C80" s="10" t="s">
        <v>139</v>
      </c>
      <c r="D80" s="10">
        <f>($C$83-$C$77)*3/6</f>
        <v>11.5</v>
      </c>
      <c r="E80" s="10">
        <f t="shared" si="2"/>
        <v>311.5</v>
      </c>
      <c r="F80" s="5">
        <v>311.5</v>
      </c>
    </row>
    <row r="81" spans="1:6" x14ac:dyDescent="0.3">
      <c r="A81" s="10" t="s">
        <v>78</v>
      </c>
      <c r="B81" s="10" t="s">
        <v>139</v>
      </c>
      <c r="C81" s="10" t="s">
        <v>139</v>
      </c>
      <c r="D81" s="10">
        <f>($C$83-$C$77)*4/6</f>
        <v>15.333333333333334</v>
      </c>
      <c r="E81" s="10">
        <f t="shared" si="2"/>
        <v>315.33333333333331</v>
      </c>
      <c r="F81" s="5">
        <v>315.33333333333331</v>
      </c>
    </row>
    <row r="82" spans="1:6" x14ac:dyDescent="0.3">
      <c r="A82" s="10" t="s">
        <v>79</v>
      </c>
      <c r="B82" s="10" t="s">
        <v>139</v>
      </c>
      <c r="C82" s="10" t="s">
        <v>139</v>
      </c>
      <c r="D82" s="10">
        <f>($C$83-$C$77)*5/6</f>
        <v>19.166666666666668</v>
      </c>
      <c r="E82" s="10">
        <f t="shared" si="2"/>
        <v>319.16666666666669</v>
      </c>
      <c r="F82" s="5">
        <v>319.16666666666669</v>
      </c>
    </row>
    <row r="83" spans="1:6" x14ac:dyDescent="0.3">
      <c r="A83" s="5" t="s">
        <v>80</v>
      </c>
      <c r="B83" s="5">
        <v>323</v>
      </c>
      <c r="C83" s="5">
        <v>323</v>
      </c>
      <c r="D83" s="5"/>
      <c r="E83" s="5">
        <f t="shared" si="1"/>
        <v>323</v>
      </c>
      <c r="F83" s="5">
        <v>323</v>
      </c>
    </row>
    <row r="84" spans="1:6" x14ac:dyDescent="0.3">
      <c r="A84" s="5" t="s">
        <v>81</v>
      </c>
      <c r="B84" s="5">
        <v>362.67</v>
      </c>
      <c r="C84" s="5">
        <v>362.67</v>
      </c>
      <c r="D84" s="5"/>
      <c r="E84" s="5">
        <f t="shared" si="1"/>
        <v>362.67</v>
      </c>
      <c r="F84" s="5">
        <v>362.67</v>
      </c>
    </row>
    <row r="85" spans="1:6" x14ac:dyDescent="0.3">
      <c r="A85" s="5" t="s">
        <v>82</v>
      </c>
      <c r="B85" s="5">
        <v>406.88</v>
      </c>
      <c r="C85" s="5">
        <v>406.88</v>
      </c>
      <c r="D85" s="5"/>
      <c r="E85" s="5">
        <f t="shared" si="1"/>
        <v>406.88</v>
      </c>
      <c r="F85" s="5">
        <v>406.88</v>
      </c>
    </row>
    <row r="86" spans="1:6" x14ac:dyDescent="0.3">
      <c r="A86" s="5" t="s">
        <v>83</v>
      </c>
      <c r="B86" s="5">
        <v>430</v>
      </c>
      <c r="C86" s="5">
        <v>430</v>
      </c>
      <c r="D86" s="5"/>
      <c r="E86" s="5">
        <f t="shared" si="1"/>
        <v>430</v>
      </c>
      <c r="F86" s="5">
        <v>430</v>
      </c>
    </row>
    <row r="87" spans="1:6" x14ac:dyDescent="0.3">
      <c r="A87" s="5" t="s">
        <v>84</v>
      </c>
      <c r="B87" s="5">
        <v>458.5</v>
      </c>
      <c r="C87" s="5">
        <v>458.5</v>
      </c>
      <c r="D87" s="5"/>
      <c r="E87" s="5">
        <f t="shared" si="1"/>
        <v>458.5</v>
      </c>
      <c r="F87" s="5">
        <v>458.5</v>
      </c>
    </row>
    <row r="88" spans="1:6" x14ac:dyDescent="0.3">
      <c r="A88" s="5" t="s">
        <v>85</v>
      </c>
      <c r="B88" s="5">
        <v>444.33</v>
      </c>
      <c r="C88" s="5">
        <v>444.33</v>
      </c>
      <c r="D88" s="5"/>
      <c r="E88" s="5">
        <f t="shared" si="1"/>
        <v>444.33</v>
      </c>
      <c r="F88" s="5">
        <v>444.33</v>
      </c>
    </row>
    <row r="89" spans="1:6" x14ac:dyDescent="0.3">
      <c r="A89" s="5" t="s">
        <v>86</v>
      </c>
      <c r="B89" s="5">
        <v>426.5</v>
      </c>
      <c r="C89" s="5">
        <v>426.5</v>
      </c>
      <c r="D89" s="5"/>
      <c r="E89" s="5">
        <f t="shared" si="1"/>
        <v>426.5</v>
      </c>
      <c r="F89" s="5">
        <v>426.5</v>
      </c>
    </row>
    <row r="90" spans="1:6" x14ac:dyDescent="0.3">
      <c r="A90" s="5" t="s">
        <v>87</v>
      </c>
      <c r="B90" s="5">
        <v>428</v>
      </c>
      <c r="C90" s="5">
        <v>428</v>
      </c>
      <c r="D90" s="5"/>
      <c r="E90" s="5">
        <f t="shared" si="1"/>
        <v>428</v>
      </c>
      <c r="F90" s="5">
        <v>428</v>
      </c>
    </row>
    <row r="91" spans="1:6" x14ac:dyDescent="0.3">
      <c r="A91" s="5" t="s">
        <v>88</v>
      </c>
      <c r="B91" s="5">
        <v>450.25</v>
      </c>
      <c r="C91" s="5">
        <v>450.25</v>
      </c>
      <c r="D91" s="5"/>
      <c r="E91" s="5">
        <f t="shared" si="1"/>
        <v>450.25</v>
      </c>
      <c r="F91" s="5">
        <v>450.25</v>
      </c>
    </row>
    <row r="92" spans="1:6" x14ac:dyDescent="0.3">
      <c r="A92" s="5" t="s">
        <v>89</v>
      </c>
      <c r="B92" s="5">
        <v>467</v>
      </c>
      <c r="C92" s="5">
        <v>467</v>
      </c>
      <c r="D92" s="5"/>
      <c r="E92" s="5">
        <f t="shared" si="1"/>
        <v>467</v>
      </c>
      <c r="F92" s="5">
        <v>467</v>
      </c>
    </row>
    <row r="93" spans="1:6" x14ac:dyDescent="0.3">
      <c r="A93" s="5" t="s">
        <v>90</v>
      </c>
      <c r="B93" s="5">
        <v>454.5</v>
      </c>
      <c r="C93" s="5">
        <v>454.5</v>
      </c>
      <c r="D93" s="5"/>
      <c r="E93" s="5">
        <f t="shared" si="1"/>
        <v>454.5</v>
      </c>
      <c r="F93" s="5">
        <v>454.5</v>
      </c>
    </row>
    <row r="94" spans="1:6" x14ac:dyDescent="0.3">
      <c r="A94" s="5" t="s">
        <v>91</v>
      </c>
      <c r="B94" s="5">
        <v>456.5</v>
      </c>
      <c r="C94" s="5">
        <v>456.5</v>
      </c>
      <c r="D94" s="5"/>
      <c r="E94" s="5">
        <f t="shared" si="1"/>
        <v>456.5</v>
      </c>
      <c r="F94" s="5">
        <v>456.5</v>
      </c>
    </row>
    <row r="95" spans="1:6" x14ac:dyDescent="0.3">
      <c r="A95" s="5" t="s">
        <v>92</v>
      </c>
      <c r="B95" s="5">
        <v>462.5</v>
      </c>
      <c r="C95" s="5">
        <v>462.5</v>
      </c>
      <c r="D95" s="5"/>
      <c r="E95" s="5">
        <f t="shared" si="1"/>
        <v>462.5</v>
      </c>
      <c r="F95" s="5">
        <v>462.5</v>
      </c>
    </row>
    <row r="96" spans="1:6" x14ac:dyDescent="0.3">
      <c r="A96" s="5" t="s">
        <v>93</v>
      </c>
      <c r="B96" s="5">
        <v>488</v>
      </c>
      <c r="C96" s="5">
        <v>488</v>
      </c>
      <c r="D96" s="5"/>
      <c r="E96" s="5">
        <f t="shared" si="1"/>
        <v>488</v>
      </c>
      <c r="F96" s="5">
        <v>488</v>
      </c>
    </row>
    <row r="97" spans="1:6" x14ac:dyDescent="0.3">
      <c r="A97" s="5" t="s">
        <v>94</v>
      </c>
      <c r="B97" s="5">
        <v>515</v>
      </c>
      <c r="C97" s="5">
        <v>515</v>
      </c>
      <c r="D97" s="5"/>
      <c r="E97" s="5">
        <f t="shared" si="1"/>
        <v>515</v>
      </c>
      <c r="F97" s="5">
        <v>515</v>
      </c>
    </row>
    <row r="98" spans="1:6" x14ac:dyDescent="0.3">
      <c r="A98" s="5" t="s">
        <v>95</v>
      </c>
      <c r="B98" s="5">
        <v>475</v>
      </c>
      <c r="C98" s="5">
        <v>475</v>
      </c>
      <c r="D98" s="5"/>
      <c r="E98" s="5">
        <f t="shared" si="1"/>
        <v>475</v>
      </c>
      <c r="F98" s="5">
        <v>475</v>
      </c>
    </row>
    <row r="99" spans="1:6" x14ac:dyDescent="0.3">
      <c r="A99" s="5" t="s">
        <v>96</v>
      </c>
      <c r="B99" s="5">
        <v>461</v>
      </c>
      <c r="C99" s="5">
        <v>461</v>
      </c>
      <c r="D99" s="5"/>
      <c r="E99" s="5">
        <f t="shared" si="1"/>
        <v>461</v>
      </c>
      <c r="F99" s="5">
        <v>461</v>
      </c>
    </row>
    <row r="100" spans="1:6" x14ac:dyDescent="0.3">
      <c r="A100" s="5" t="s">
        <v>97</v>
      </c>
      <c r="B100" s="5">
        <v>458.5</v>
      </c>
      <c r="C100" s="5">
        <v>458.5</v>
      </c>
      <c r="D100" s="5"/>
      <c r="E100" s="5">
        <f t="shared" si="1"/>
        <v>458.5</v>
      </c>
      <c r="F100" s="5">
        <v>458.5</v>
      </c>
    </row>
    <row r="101" spans="1:6" x14ac:dyDescent="0.3">
      <c r="A101" s="5" t="s">
        <v>98</v>
      </c>
      <c r="B101" s="5">
        <v>562.70000000000005</v>
      </c>
      <c r="C101" s="5">
        <v>562.70000000000005</v>
      </c>
      <c r="D101" s="5"/>
      <c r="E101" s="5">
        <f t="shared" si="1"/>
        <v>562.70000000000005</v>
      </c>
      <c r="F101" s="5">
        <v>562.70000000000005</v>
      </c>
    </row>
    <row r="102" spans="1:6" x14ac:dyDescent="0.3">
      <c r="A102" s="5" t="s">
        <v>99</v>
      </c>
      <c r="B102" s="5">
        <v>648.75</v>
      </c>
      <c r="C102" s="5">
        <v>648.75</v>
      </c>
      <c r="D102" s="5"/>
      <c r="E102" s="5">
        <f t="shared" si="1"/>
        <v>648.75</v>
      </c>
      <c r="F102" s="5">
        <v>648.75</v>
      </c>
    </row>
    <row r="103" spans="1:6" x14ac:dyDescent="0.3">
      <c r="A103" s="5" t="s">
        <v>100</v>
      </c>
      <c r="B103" s="5">
        <v>718.33</v>
      </c>
      <c r="C103" s="5">
        <v>718.33</v>
      </c>
      <c r="D103" s="5"/>
      <c r="E103" s="5">
        <f t="shared" si="1"/>
        <v>718.33</v>
      </c>
      <c r="F103" s="5">
        <v>718.33</v>
      </c>
    </row>
    <row r="104" spans="1:6" x14ac:dyDescent="0.3">
      <c r="A104" s="5" t="s">
        <v>101</v>
      </c>
      <c r="B104" s="5">
        <v>800.8</v>
      </c>
      <c r="C104" s="5">
        <v>800.8</v>
      </c>
      <c r="D104" s="5"/>
      <c r="E104" s="5">
        <f t="shared" si="1"/>
        <v>800.8</v>
      </c>
      <c r="F104" s="5">
        <v>800.8</v>
      </c>
    </row>
    <row r="105" spans="1:6" x14ac:dyDescent="0.3">
      <c r="A105" s="10" t="s">
        <v>102</v>
      </c>
      <c r="B105" s="10" t="s">
        <v>139</v>
      </c>
      <c r="C105" s="10" t="s">
        <v>139</v>
      </c>
      <c r="D105" s="10">
        <f>(C106-C104)/2</f>
        <v>-57.899999999999977</v>
      </c>
      <c r="E105" s="10">
        <f>C104+D105</f>
        <v>742.9</v>
      </c>
      <c r="F105" s="5">
        <v>742.9</v>
      </c>
    </row>
    <row r="106" spans="1:6" x14ac:dyDescent="0.3">
      <c r="A106" s="5" t="s">
        <v>103</v>
      </c>
      <c r="B106" s="5">
        <v>685</v>
      </c>
      <c r="C106" s="5">
        <v>685</v>
      </c>
      <c r="D106" s="5"/>
      <c r="E106" s="5">
        <f t="shared" si="1"/>
        <v>685</v>
      </c>
      <c r="F106" s="5">
        <v>685</v>
      </c>
    </row>
    <row r="107" spans="1:6" x14ac:dyDescent="0.3">
      <c r="A107" s="5" t="s">
        <v>104</v>
      </c>
      <c r="B107" s="5">
        <v>670</v>
      </c>
      <c r="C107" s="5">
        <v>670</v>
      </c>
      <c r="D107" s="5"/>
      <c r="E107" s="5">
        <f t="shared" si="1"/>
        <v>670</v>
      </c>
      <c r="F107" s="5">
        <v>670</v>
      </c>
    </row>
    <row r="108" spans="1:6" x14ac:dyDescent="0.3">
      <c r="A108" s="5" t="s">
        <v>105</v>
      </c>
      <c r="B108" s="5">
        <v>500</v>
      </c>
      <c r="C108" s="5">
        <v>500</v>
      </c>
      <c r="D108" s="5"/>
      <c r="E108" s="5">
        <f t="shared" si="1"/>
        <v>500</v>
      </c>
      <c r="F108" s="5">
        <v>500</v>
      </c>
    </row>
    <row r="109" spans="1:6" x14ac:dyDescent="0.3">
      <c r="A109" s="5" t="s">
        <v>106</v>
      </c>
      <c r="B109" s="5">
        <v>526.70000000000005</v>
      </c>
      <c r="C109" s="5">
        <v>526.70000000000005</v>
      </c>
      <c r="D109" s="5"/>
      <c r="E109" s="5">
        <f t="shared" si="1"/>
        <v>526.70000000000005</v>
      </c>
      <c r="F109" s="5">
        <v>526.70000000000005</v>
      </c>
    </row>
    <row r="110" spans="1:6" x14ac:dyDescent="0.3">
      <c r="A110" s="5" t="s">
        <v>107</v>
      </c>
      <c r="B110" s="5">
        <v>517.66999999999996</v>
      </c>
      <c r="C110" s="5">
        <v>517.66999999999996</v>
      </c>
      <c r="D110" s="5"/>
      <c r="E110" s="5">
        <f t="shared" si="1"/>
        <v>517.66999999999996</v>
      </c>
      <c r="F110" s="5">
        <v>517.66999999999996</v>
      </c>
    </row>
    <row r="111" spans="1:6" x14ac:dyDescent="0.3">
      <c r="A111" s="5" t="s">
        <v>108</v>
      </c>
      <c r="B111" s="5">
        <v>472.66666666666669</v>
      </c>
      <c r="C111" s="5">
        <v>472.66666666666669</v>
      </c>
      <c r="D111" s="5"/>
      <c r="E111" s="5">
        <f t="shared" si="1"/>
        <v>472.66666666666669</v>
      </c>
      <c r="F111" s="5">
        <v>472.66666666666669</v>
      </c>
    </row>
    <row r="112" spans="1:6" x14ac:dyDescent="0.3">
      <c r="A112" s="5" t="s">
        <v>109</v>
      </c>
      <c r="B112" s="5">
        <v>505</v>
      </c>
      <c r="C112" s="5">
        <v>505</v>
      </c>
      <c r="D112" s="5"/>
      <c r="E112" s="5">
        <f t="shared" si="1"/>
        <v>505</v>
      </c>
      <c r="F112" s="5">
        <v>505</v>
      </c>
    </row>
    <row r="113" spans="1:6" x14ac:dyDescent="0.3">
      <c r="A113" s="5" t="s">
        <v>110</v>
      </c>
      <c r="B113" s="5">
        <v>480</v>
      </c>
      <c r="C113" s="5">
        <v>480</v>
      </c>
      <c r="D113" s="5"/>
      <c r="E113" s="5">
        <f t="shared" si="1"/>
        <v>480</v>
      </c>
      <c r="F113" s="5">
        <v>480</v>
      </c>
    </row>
    <row r="114" spans="1:6" x14ac:dyDescent="0.3">
      <c r="A114" s="5" t="s">
        <v>111</v>
      </c>
      <c r="B114" s="5">
        <v>464</v>
      </c>
      <c r="C114" s="5">
        <v>464</v>
      </c>
      <c r="D114" s="5"/>
      <c r="E114" s="5">
        <f t="shared" si="1"/>
        <v>464</v>
      </c>
      <c r="F114" s="5">
        <v>464</v>
      </c>
    </row>
    <row r="115" spans="1:6" x14ac:dyDescent="0.3">
      <c r="A115" s="5" t="s">
        <v>112</v>
      </c>
      <c r="B115" s="5">
        <v>485</v>
      </c>
      <c r="C115" s="5">
        <v>485</v>
      </c>
      <c r="D115" s="5"/>
      <c r="E115" s="5">
        <f t="shared" si="1"/>
        <v>485</v>
      </c>
      <c r="F115" s="5">
        <v>485</v>
      </c>
    </row>
    <row r="116" spans="1:6" x14ac:dyDescent="0.3">
      <c r="A116" s="5" t="s">
        <v>113</v>
      </c>
      <c r="B116" s="5">
        <v>536.25</v>
      </c>
      <c r="C116" s="5">
        <v>536.25</v>
      </c>
      <c r="D116" s="5"/>
      <c r="E116" s="5">
        <f t="shared" si="1"/>
        <v>536.25</v>
      </c>
      <c r="F116" s="5">
        <v>536.25</v>
      </c>
    </row>
    <row r="117" spans="1:6" x14ac:dyDescent="0.3">
      <c r="A117" s="5" t="s">
        <v>114</v>
      </c>
      <c r="B117" s="5">
        <v>600</v>
      </c>
      <c r="C117" s="5">
        <v>600</v>
      </c>
      <c r="D117" s="5"/>
      <c r="E117" s="5">
        <f t="shared" si="1"/>
        <v>600</v>
      </c>
      <c r="F117" s="5">
        <v>600</v>
      </c>
    </row>
    <row r="118" spans="1:6" x14ac:dyDescent="0.3">
      <c r="A118" s="5" t="s">
        <v>115</v>
      </c>
      <c r="B118" s="5">
        <v>518.33333333333337</v>
      </c>
      <c r="C118" s="5">
        <v>518.33333333333337</v>
      </c>
      <c r="D118" s="5"/>
      <c r="E118" s="5">
        <f t="shared" si="1"/>
        <v>518.33333333333337</v>
      </c>
      <c r="F118" s="5">
        <v>518.33333333333337</v>
      </c>
    </row>
    <row r="119" spans="1:6" x14ac:dyDescent="0.3">
      <c r="A119" s="5" t="s">
        <v>116</v>
      </c>
      <c r="B119" s="5">
        <v>566</v>
      </c>
      <c r="C119" s="5">
        <v>566</v>
      </c>
      <c r="D119" s="5"/>
      <c r="E119" s="5">
        <f t="shared" si="1"/>
        <v>566</v>
      </c>
      <c r="F119" s="5">
        <v>566</v>
      </c>
    </row>
    <row r="120" spans="1:6" x14ac:dyDescent="0.3">
      <c r="A120" s="5" t="s">
        <v>117</v>
      </c>
      <c r="B120" s="5">
        <v>610</v>
      </c>
      <c r="C120" s="5">
        <v>610</v>
      </c>
      <c r="D120" s="5"/>
      <c r="E120" s="5">
        <f t="shared" si="1"/>
        <v>610</v>
      </c>
      <c r="F120" s="5">
        <v>610</v>
      </c>
    </row>
    <row r="121" spans="1:6" x14ac:dyDescent="0.3">
      <c r="A121" s="5" t="s">
        <v>118</v>
      </c>
      <c r="B121" s="5">
        <v>682.33333333333337</v>
      </c>
      <c r="C121" s="5">
        <v>682.33333333333337</v>
      </c>
      <c r="D121" s="5"/>
      <c r="E121" s="5">
        <f t="shared" si="1"/>
        <v>682.33333333333337</v>
      </c>
      <c r="F121" s="5">
        <v>682.33333333333337</v>
      </c>
    </row>
    <row r="122" spans="1:6" x14ac:dyDescent="0.3">
      <c r="A122" s="5" t="s">
        <v>119</v>
      </c>
      <c r="B122" s="5">
        <v>793.33333333333337</v>
      </c>
      <c r="C122" s="5">
        <v>793.33333333333337</v>
      </c>
      <c r="D122" s="5"/>
      <c r="E122" s="5">
        <f t="shared" si="1"/>
        <v>793.33333333333337</v>
      </c>
      <c r="F122" s="5">
        <v>793.33333333333337</v>
      </c>
    </row>
    <row r="123" spans="1:6" x14ac:dyDescent="0.3">
      <c r="A123" s="5" t="s">
        <v>120</v>
      </c>
      <c r="B123" s="5">
        <v>658.33333333333337</v>
      </c>
      <c r="C123" s="5">
        <v>658.33333333333337</v>
      </c>
      <c r="D123" s="5"/>
      <c r="E123" s="5">
        <f t="shared" si="1"/>
        <v>658.33333333333337</v>
      </c>
      <c r="F123" s="5">
        <v>658.33333333333337</v>
      </c>
    </row>
    <row r="124" spans="1:6" x14ac:dyDescent="0.3">
      <c r="A124" s="5" t="s">
        <v>121</v>
      </c>
      <c r="B124" s="5">
        <v>650.5</v>
      </c>
      <c r="C124" s="5">
        <v>650.5</v>
      </c>
      <c r="D124" s="5"/>
      <c r="E124" s="5">
        <f t="shared" si="1"/>
        <v>650.5</v>
      </c>
      <c r="F124" s="5">
        <v>650.5</v>
      </c>
    </row>
    <row r="125" spans="1:6" x14ac:dyDescent="0.3">
      <c r="A125" s="5" t="s">
        <v>122</v>
      </c>
      <c r="B125" s="5">
        <v>686.5</v>
      </c>
      <c r="C125" s="5">
        <v>686.5</v>
      </c>
      <c r="D125" s="5"/>
      <c r="E125" s="5">
        <f t="shared" si="1"/>
        <v>686.5</v>
      </c>
      <c r="F125" s="5">
        <v>686.5</v>
      </c>
    </row>
    <row r="126" spans="1:6" x14ac:dyDescent="0.3">
      <c r="A126" s="5" t="s">
        <v>123</v>
      </c>
      <c r="B126" s="5">
        <v>645</v>
      </c>
      <c r="C126" s="5">
        <v>645</v>
      </c>
      <c r="D126" s="5"/>
      <c r="E126" s="5">
        <f t="shared" si="1"/>
        <v>645</v>
      </c>
      <c r="F126" s="5">
        <v>645</v>
      </c>
    </row>
    <row r="127" spans="1:6" x14ac:dyDescent="0.3">
      <c r="A127" s="10" t="s">
        <v>124</v>
      </c>
      <c r="B127" s="10" t="s">
        <v>139</v>
      </c>
      <c r="C127" s="10" t="s">
        <v>139</v>
      </c>
      <c r="D127" s="10">
        <f>(C128-C126)/2</f>
        <v>15</v>
      </c>
      <c r="E127" s="10">
        <f>C126+D127</f>
        <v>660</v>
      </c>
      <c r="F127" s="5">
        <v>660</v>
      </c>
    </row>
    <row r="128" spans="1:6" x14ac:dyDescent="0.3">
      <c r="A128" s="5" t="s">
        <v>125</v>
      </c>
      <c r="B128" s="5">
        <v>675</v>
      </c>
      <c r="C128" s="5">
        <v>675</v>
      </c>
      <c r="D128" s="5"/>
      <c r="E128" s="5">
        <f t="shared" si="1"/>
        <v>675</v>
      </c>
      <c r="F128" s="5">
        <v>675</v>
      </c>
    </row>
    <row r="129" spans="1:10" x14ac:dyDescent="0.3">
      <c r="A129" s="5" t="s">
        <v>126</v>
      </c>
      <c r="B129" s="5">
        <v>700</v>
      </c>
      <c r="C129" s="5">
        <v>700</v>
      </c>
      <c r="D129" s="5"/>
      <c r="E129" s="5">
        <f t="shared" si="1"/>
        <v>700</v>
      </c>
      <c r="F129" s="5">
        <v>700</v>
      </c>
    </row>
    <row r="130" spans="1:10" x14ac:dyDescent="0.3">
      <c r="A130" s="10" t="s">
        <v>127</v>
      </c>
      <c r="B130" s="10" t="s">
        <v>140</v>
      </c>
      <c r="C130" s="10" t="s">
        <v>140</v>
      </c>
      <c r="D130" s="10">
        <f>(C131-C129)/2</f>
        <v>26</v>
      </c>
      <c r="E130" s="10">
        <f>C129+D130</f>
        <v>726</v>
      </c>
      <c r="F130" s="5">
        <v>726</v>
      </c>
    </row>
    <row r="131" spans="1:10" x14ac:dyDescent="0.3">
      <c r="A131" s="5" t="s">
        <v>128</v>
      </c>
      <c r="B131" s="5">
        <v>752</v>
      </c>
      <c r="C131" s="5">
        <v>752</v>
      </c>
      <c r="D131" s="5"/>
      <c r="E131" s="5">
        <f t="shared" si="1"/>
        <v>752</v>
      </c>
      <c r="F131" s="5">
        <v>752</v>
      </c>
    </row>
    <row r="132" spans="1:10" x14ac:dyDescent="0.3">
      <c r="A132" s="5" t="s">
        <v>129</v>
      </c>
      <c r="B132" s="5">
        <v>810.5</v>
      </c>
      <c r="C132" s="5">
        <v>810.5</v>
      </c>
      <c r="D132" s="5"/>
      <c r="E132" s="5">
        <f t="shared" ref="E132:E146" si="3">IF(NOT(ISNUMBER(D132)),C132,"")</f>
        <v>810.5</v>
      </c>
      <c r="F132" s="5">
        <v>810.5</v>
      </c>
    </row>
    <row r="133" spans="1:10" x14ac:dyDescent="0.3">
      <c r="A133" s="5" t="s">
        <v>130</v>
      </c>
      <c r="B133" s="5">
        <v>802.5</v>
      </c>
      <c r="C133" s="5">
        <v>802.5</v>
      </c>
      <c r="D133" s="5"/>
      <c r="E133" s="5">
        <f t="shared" si="3"/>
        <v>802.5</v>
      </c>
      <c r="F133" s="5">
        <v>802.5</v>
      </c>
    </row>
    <row r="134" spans="1:10" x14ac:dyDescent="0.3">
      <c r="A134" s="5" t="s">
        <v>131</v>
      </c>
      <c r="B134" s="5">
        <v>760</v>
      </c>
      <c r="C134" s="5">
        <v>760</v>
      </c>
      <c r="D134" s="5"/>
      <c r="E134" s="5">
        <f t="shared" si="3"/>
        <v>760</v>
      </c>
      <c r="F134" s="5">
        <v>760</v>
      </c>
    </row>
    <row r="135" spans="1:10" x14ac:dyDescent="0.3">
      <c r="A135" s="5" t="s">
        <v>132</v>
      </c>
      <c r="B135" s="5">
        <v>750</v>
      </c>
      <c r="C135" s="5">
        <v>750</v>
      </c>
      <c r="D135" s="5"/>
      <c r="E135" s="5">
        <f t="shared" si="3"/>
        <v>750</v>
      </c>
      <c r="F135" s="5">
        <v>750</v>
      </c>
    </row>
    <row r="136" spans="1:10" x14ac:dyDescent="0.3">
      <c r="A136" s="10" t="s">
        <v>133</v>
      </c>
      <c r="B136" s="10" t="s">
        <v>140</v>
      </c>
      <c r="C136" s="10" t="s">
        <v>140</v>
      </c>
      <c r="D136" s="10">
        <f>($C$138-$C$135)/3</f>
        <v>-23.333333333333332</v>
      </c>
      <c r="E136" s="10">
        <f>$C$135+D136</f>
        <v>726.66666666666663</v>
      </c>
      <c r="F136" s="5">
        <v>726.66666666666663</v>
      </c>
    </row>
    <row r="137" spans="1:10" ht="15.6" x14ac:dyDescent="0.3">
      <c r="A137" s="10" t="s">
        <v>134</v>
      </c>
      <c r="B137" s="10" t="s">
        <v>140</v>
      </c>
      <c r="C137" s="10" t="s">
        <v>140</v>
      </c>
      <c r="D137" s="10">
        <f>($C$138-$C$135)*2/3</f>
        <v>-46.666666666666664</v>
      </c>
      <c r="E137" s="10">
        <f>$C$135+D137</f>
        <v>703.33333333333337</v>
      </c>
      <c r="F137" s="5">
        <v>703.33333333333337</v>
      </c>
      <c r="I137" s="16"/>
      <c r="J137" s="16"/>
    </row>
    <row r="138" spans="1:10" ht="15.6" x14ac:dyDescent="0.3">
      <c r="A138" s="5" t="s">
        <v>135</v>
      </c>
      <c r="B138" s="5">
        <v>680</v>
      </c>
      <c r="C138" s="5">
        <v>680</v>
      </c>
      <c r="D138" s="5"/>
      <c r="E138" s="5">
        <f t="shared" si="3"/>
        <v>680</v>
      </c>
      <c r="F138" s="5">
        <v>680</v>
      </c>
      <c r="I138" s="16"/>
      <c r="J138" s="16"/>
    </row>
    <row r="139" spans="1:10" ht="15.6" x14ac:dyDescent="0.3">
      <c r="A139" s="5" t="s">
        <v>136</v>
      </c>
      <c r="B139" s="5">
        <v>700</v>
      </c>
      <c r="C139" s="5">
        <v>700</v>
      </c>
      <c r="D139" s="5"/>
      <c r="E139" s="5">
        <f t="shared" si="3"/>
        <v>700</v>
      </c>
      <c r="F139" s="5">
        <v>700</v>
      </c>
      <c r="I139" s="16"/>
      <c r="J139" s="16"/>
    </row>
    <row r="140" spans="1:10" ht="15.6" x14ac:dyDescent="0.3">
      <c r="A140" s="10" t="s">
        <v>137</v>
      </c>
      <c r="B140" s="10" t="s">
        <v>140</v>
      </c>
      <c r="C140" s="10" t="s">
        <v>140</v>
      </c>
      <c r="D140" s="10">
        <f>(C141-C139)/2</f>
        <v>15</v>
      </c>
      <c r="E140" s="10">
        <f>C139+D140</f>
        <v>715</v>
      </c>
      <c r="F140" s="5">
        <v>715</v>
      </c>
      <c r="I140" s="16"/>
      <c r="J140" s="16"/>
    </row>
    <row r="141" spans="1:10" x14ac:dyDescent="0.3">
      <c r="A141" s="5" t="s">
        <v>138</v>
      </c>
      <c r="B141" s="5">
        <v>730</v>
      </c>
      <c r="C141" s="5">
        <v>730</v>
      </c>
      <c r="D141" s="5"/>
      <c r="E141" s="5">
        <f t="shared" si="3"/>
        <v>730</v>
      </c>
      <c r="F141" s="5">
        <v>730</v>
      </c>
      <c r="I141" s="14"/>
      <c r="J141" s="14"/>
    </row>
    <row r="142" spans="1:10" ht="15.6" x14ac:dyDescent="0.3">
      <c r="A142" s="17" t="s">
        <v>169</v>
      </c>
      <c r="B142" s="5">
        <v>725</v>
      </c>
      <c r="C142" s="4">
        <v>725</v>
      </c>
      <c r="D142" s="4"/>
      <c r="E142" s="5">
        <f t="shared" si="3"/>
        <v>725</v>
      </c>
      <c r="F142" s="4">
        <v>725</v>
      </c>
    </row>
    <row r="143" spans="1:10" ht="15.6" x14ac:dyDescent="0.3">
      <c r="A143" s="17" t="s">
        <v>170</v>
      </c>
      <c r="B143" s="5">
        <v>700</v>
      </c>
      <c r="C143" s="4">
        <v>700</v>
      </c>
      <c r="D143" s="4"/>
      <c r="E143" s="5">
        <f t="shared" si="3"/>
        <v>700</v>
      </c>
      <c r="F143" s="4">
        <v>700</v>
      </c>
    </row>
    <row r="144" spans="1:10" ht="15.6" x14ac:dyDescent="0.3">
      <c r="A144" s="17" t="s">
        <v>171</v>
      </c>
      <c r="B144" s="5">
        <v>1000</v>
      </c>
      <c r="C144" s="4">
        <v>1000</v>
      </c>
      <c r="D144" s="4"/>
      <c r="E144" s="5">
        <f t="shared" si="3"/>
        <v>1000</v>
      </c>
      <c r="F144" s="4">
        <v>1000</v>
      </c>
    </row>
    <row r="145" spans="1:6" ht="15.6" x14ac:dyDescent="0.3">
      <c r="A145" s="17" t="s">
        <v>172</v>
      </c>
      <c r="B145" s="10" t="s">
        <v>140</v>
      </c>
      <c r="C145" s="10" t="s">
        <v>140</v>
      </c>
      <c r="D145" s="10">
        <f>(C146-C144)/2</f>
        <v>-150</v>
      </c>
      <c r="E145" s="10">
        <f>C144+D145</f>
        <v>850</v>
      </c>
      <c r="F145" s="4">
        <v>850</v>
      </c>
    </row>
    <row r="146" spans="1:6" x14ac:dyDescent="0.3">
      <c r="A146" s="18" t="s">
        <v>173</v>
      </c>
      <c r="B146" s="5">
        <v>700</v>
      </c>
      <c r="C146" s="4">
        <v>700</v>
      </c>
      <c r="D146" s="4"/>
      <c r="E146" s="5">
        <f t="shared" si="3"/>
        <v>700</v>
      </c>
      <c r="F146" s="4">
        <v>700</v>
      </c>
    </row>
  </sheetData>
  <mergeCells count="1">
    <mergeCell ref="A1:F1"/>
  </mergeCells>
  <conditionalFormatting sqref="C2:D2">
    <cfRule type="cellIs" dxfId="6" priority="4" operator="equal">
      <formula>"unq"</formula>
    </cfRule>
  </conditionalFormatting>
  <conditionalFormatting sqref="C3:C141">
    <cfRule type="cellIs" dxfId="5" priority="3" operator="equal">
      <formula>"unq"</formula>
    </cfRule>
  </conditionalFormatting>
  <conditionalFormatting sqref="C145">
    <cfRule type="cellIs" dxfId="4" priority="1" operator="equal">
      <formula>"unq"</formula>
    </cfRule>
  </conditionalFormatting>
  <pageMargins left="0.7" right="0.7" top="0.75" bottom="0.75" header="0.3" footer="0.3"/>
  <ignoredErrors>
    <ignoredError sqref="E25 E105 E127 E130 E140 E14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0D9E-DE88-4380-BFD2-5EBCD64A18AB}">
  <dimension ref="A1:F146"/>
  <sheetViews>
    <sheetView tabSelected="1" topLeftCell="A127" zoomScale="94" workbookViewId="0">
      <selection activeCell="F138" sqref="F138:F146"/>
    </sheetView>
  </sheetViews>
  <sheetFormatPr defaultRowHeight="14.4" x14ac:dyDescent="0.3"/>
  <cols>
    <col min="1" max="1" width="11.33203125" customWidth="1"/>
    <col min="2" max="2" width="20.44140625" bestFit="1" customWidth="1"/>
    <col min="3" max="3" width="19.21875" style="1" customWidth="1"/>
    <col min="4" max="4" width="23.77734375" style="1" bestFit="1" customWidth="1"/>
    <col min="5" max="5" width="18.33203125" style="1" customWidth="1"/>
    <col min="6" max="6" width="14.21875" customWidth="1"/>
    <col min="7" max="7" width="14.44140625" bestFit="1" customWidth="1"/>
  </cols>
  <sheetData>
    <row r="1" spans="1:6" ht="24.6" customHeight="1" x14ac:dyDescent="0.3">
      <c r="A1" s="15" t="s">
        <v>147</v>
      </c>
      <c r="B1" s="15"/>
      <c r="C1" s="15"/>
      <c r="D1" s="15"/>
      <c r="E1" s="15"/>
      <c r="F1" s="15"/>
    </row>
    <row r="2" spans="1:6" s="2" customFormat="1" x14ac:dyDescent="0.3">
      <c r="A2" s="3" t="s">
        <v>0</v>
      </c>
      <c r="B2" s="3" t="s">
        <v>142</v>
      </c>
      <c r="C2" s="3" t="s">
        <v>141</v>
      </c>
      <c r="D2" s="3" t="s">
        <v>143</v>
      </c>
      <c r="E2" s="3" t="s">
        <v>144</v>
      </c>
      <c r="F2" s="3" t="s">
        <v>146</v>
      </c>
    </row>
    <row r="3" spans="1:6" x14ac:dyDescent="0.3">
      <c r="A3" s="5" t="s">
        <v>1</v>
      </c>
      <c r="B3" s="5">
        <v>275.05</v>
      </c>
      <c r="C3" s="6">
        <v>275.05</v>
      </c>
      <c r="D3" s="6"/>
      <c r="E3" s="6">
        <f t="shared" ref="E3:E18" si="0">IF(NOT(ISNUMBER(D3)),C3,"")</f>
        <v>275.05</v>
      </c>
      <c r="F3" s="5">
        <v>275.05</v>
      </c>
    </row>
    <row r="4" spans="1:6" x14ac:dyDescent="0.3">
      <c r="A4" s="5" t="s">
        <v>2</v>
      </c>
      <c r="B4" s="5">
        <v>278.12</v>
      </c>
      <c r="C4" s="6">
        <v>278.12</v>
      </c>
      <c r="D4" s="6"/>
      <c r="E4" s="6">
        <f t="shared" si="0"/>
        <v>278.12</v>
      </c>
      <c r="F4" s="5">
        <v>278.12</v>
      </c>
    </row>
    <row r="5" spans="1:6" x14ac:dyDescent="0.3">
      <c r="A5" s="5" t="s">
        <v>3</v>
      </c>
      <c r="B5" s="5">
        <v>286.38</v>
      </c>
      <c r="C5" s="6">
        <v>286.38</v>
      </c>
      <c r="D5" s="6"/>
      <c r="E5" s="6">
        <f t="shared" si="0"/>
        <v>286.38</v>
      </c>
      <c r="F5" s="5">
        <v>286.38</v>
      </c>
    </row>
    <row r="6" spans="1:6" x14ac:dyDescent="0.3">
      <c r="A6" s="5" t="s">
        <v>4</v>
      </c>
      <c r="B6" s="5">
        <v>281.14</v>
      </c>
      <c r="C6" s="6">
        <v>281.14</v>
      </c>
      <c r="D6" s="6"/>
      <c r="E6" s="6">
        <f t="shared" si="0"/>
        <v>281.14</v>
      </c>
      <c r="F6" s="5">
        <v>281.14</v>
      </c>
    </row>
    <row r="7" spans="1:6" x14ac:dyDescent="0.3">
      <c r="A7" s="5" t="s">
        <v>5</v>
      </c>
      <c r="B7" s="5">
        <v>279.5</v>
      </c>
      <c r="C7" s="6">
        <v>279.5</v>
      </c>
      <c r="D7" s="6"/>
      <c r="E7" s="6">
        <f t="shared" si="0"/>
        <v>279.5</v>
      </c>
      <c r="F7" s="5">
        <v>279.5</v>
      </c>
    </row>
    <row r="8" spans="1:6" x14ac:dyDescent="0.3">
      <c r="A8" s="5" t="s">
        <v>6</v>
      </c>
      <c r="B8" s="5">
        <v>290.25</v>
      </c>
      <c r="C8" s="6">
        <v>290.25</v>
      </c>
      <c r="D8" s="6"/>
      <c r="E8" s="6">
        <f t="shared" si="0"/>
        <v>290.25</v>
      </c>
      <c r="F8" s="5">
        <v>290.25</v>
      </c>
    </row>
    <row r="9" spans="1:6" x14ac:dyDescent="0.3">
      <c r="A9" s="5" t="s">
        <v>7</v>
      </c>
      <c r="B9" s="5">
        <v>268.33</v>
      </c>
      <c r="C9" s="6">
        <v>268.33</v>
      </c>
      <c r="D9" s="6"/>
      <c r="E9" s="6">
        <f t="shared" si="0"/>
        <v>268.33</v>
      </c>
      <c r="F9" s="5">
        <v>268.33</v>
      </c>
    </row>
    <row r="10" spans="1:6" x14ac:dyDescent="0.3">
      <c r="A10" s="5" t="s">
        <v>8</v>
      </c>
      <c r="B10" s="5">
        <v>257</v>
      </c>
      <c r="C10" s="6">
        <v>257</v>
      </c>
      <c r="D10" s="6"/>
      <c r="E10" s="6">
        <f t="shared" si="0"/>
        <v>257</v>
      </c>
      <c r="F10" s="5">
        <v>257</v>
      </c>
    </row>
    <row r="11" spans="1:6" x14ac:dyDescent="0.3">
      <c r="A11" s="5" t="s">
        <v>9</v>
      </c>
      <c r="B11" s="5">
        <v>240.5</v>
      </c>
      <c r="C11" s="6">
        <v>240.5</v>
      </c>
      <c r="D11" s="6"/>
      <c r="E11" s="6">
        <f t="shared" si="0"/>
        <v>240.5</v>
      </c>
      <c r="F11" s="5">
        <v>240.5</v>
      </c>
    </row>
    <row r="12" spans="1:6" x14ac:dyDescent="0.3">
      <c r="A12" s="5" t="s">
        <v>10</v>
      </c>
      <c r="B12" s="5">
        <v>265.75</v>
      </c>
      <c r="C12" s="6">
        <v>265.75</v>
      </c>
      <c r="D12" s="6"/>
      <c r="E12" s="6">
        <f t="shared" si="0"/>
        <v>265.75</v>
      </c>
      <c r="F12" s="5">
        <v>265.75</v>
      </c>
    </row>
    <row r="13" spans="1:6" x14ac:dyDescent="0.3">
      <c r="A13" s="5" t="s">
        <v>11</v>
      </c>
      <c r="B13" s="5">
        <v>252</v>
      </c>
      <c r="C13" s="6">
        <v>252</v>
      </c>
      <c r="D13" s="6"/>
      <c r="E13" s="6">
        <f t="shared" si="0"/>
        <v>252</v>
      </c>
      <c r="F13" s="5">
        <v>252</v>
      </c>
    </row>
    <row r="14" spans="1:6" x14ac:dyDescent="0.3">
      <c r="A14" s="5" t="s">
        <v>12</v>
      </c>
      <c r="B14" s="5">
        <v>248</v>
      </c>
      <c r="C14" s="6">
        <v>248</v>
      </c>
      <c r="D14" s="6"/>
      <c r="E14" s="6">
        <f t="shared" si="0"/>
        <v>248</v>
      </c>
      <c r="F14" s="5">
        <v>248</v>
      </c>
    </row>
    <row r="15" spans="1:6" x14ac:dyDescent="0.3">
      <c r="A15" s="5" t="s">
        <v>13</v>
      </c>
      <c r="B15" s="5">
        <v>302.5</v>
      </c>
      <c r="C15" s="6">
        <v>302.5</v>
      </c>
      <c r="D15" s="6"/>
      <c r="E15" s="6">
        <f t="shared" si="0"/>
        <v>302.5</v>
      </c>
      <c r="F15" s="5">
        <v>302.5</v>
      </c>
    </row>
    <row r="16" spans="1:6" x14ac:dyDescent="0.3">
      <c r="A16" s="5" t="s">
        <v>14</v>
      </c>
      <c r="B16" s="5">
        <v>266</v>
      </c>
      <c r="C16" s="6">
        <v>266</v>
      </c>
      <c r="D16" s="6"/>
      <c r="E16" s="6">
        <f t="shared" si="0"/>
        <v>266</v>
      </c>
      <c r="F16" s="5">
        <v>266</v>
      </c>
    </row>
    <row r="17" spans="1:6" x14ac:dyDescent="0.3">
      <c r="A17" s="5" t="s">
        <v>15</v>
      </c>
      <c r="B17" s="5">
        <v>234</v>
      </c>
      <c r="C17" s="6">
        <v>234</v>
      </c>
      <c r="D17" s="6"/>
      <c r="E17" s="6">
        <f t="shared" si="0"/>
        <v>234</v>
      </c>
      <c r="F17" s="5">
        <v>234</v>
      </c>
    </row>
    <row r="18" spans="1:6" x14ac:dyDescent="0.3">
      <c r="A18" s="5" t="s">
        <v>16</v>
      </c>
      <c r="B18" s="5">
        <v>211.5</v>
      </c>
      <c r="C18" s="6">
        <v>211.5</v>
      </c>
      <c r="D18" s="6"/>
      <c r="E18" s="6">
        <f t="shared" si="0"/>
        <v>211.5</v>
      </c>
      <c r="F18" s="5">
        <v>211.5</v>
      </c>
    </row>
    <row r="19" spans="1:6" x14ac:dyDescent="0.3">
      <c r="A19" s="7" t="s">
        <v>17</v>
      </c>
      <c r="B19" s="7" t="s">
        <v>139</v>
      </c>
      <c r="C19" s="7" t="s">
        <v>139</v>
      </c>
      <c r="D19" s="7">
        <f>(C20-C18)/2</f>
        <v>6.25</v>
      </c>
      <c r="E19" s="7">
        <f>C18+D19</f>
        <v>217.75</v>
      </c>
      <c r="F19" s="5">
        <v>217.75</v>
      </c>
    </row>
    <row r="20" spans="1:6" x14ac:dyDescent="0.3">
      <c r="A20" s="5" t="s">
        <v>18</v>
      </c>
      <c r="B20" s="5">
        <v>224</v>
      </c>
      <c r="C20" s="6">
        <v>224</v>
      </c>
      <c r="D20" s="6"/>
      <c r="E20" s="6">
        <f>IF(NOT(ISNUMBER(D20)),C20,"")</f>
        <v>224</v>
      </c>
      <c r="F20" s="5">
        <v>224</v>
      </c>
    </row>
    <row r="21" spans="1:6" x14ac:dyDescent="0.3">
      <c r="A21" s="5" t="s">
        <v>19</v>
      </c>
      <c r="B21" s="5">
        <v>235</v>
      </c>
      <c r="C21" s="6">
        <v>235</v>
      </c>
      <c r="D21" s="6"/>
      <c r="E21" s="6">
        <f>IF(NOT(ISNUMBER(D21)),C21,"")</f>
        <v>235</v>
      </c>
      <c r="F21" s="5">
        <v>235</v>
      </c>
    </row>
    <row r="22" spans="1:6" x14ac:dyDescent="0.3">
      <c r="A22" s="5" t="s">
        <v>20</v>
      </c>
      <c r="B22" s="5">
        <v>228</v>
      </c>
      <c r="C22" s="6">
        <v>228</v>
      </c>
      <c r="D22" s="6"/>
      <c r="E22" s="6">
        <f>IF(NOT(ISNUMBER(D22)),C22,"")</f>
        <v>228</v>
      </c>
      <c r="F22" s="5">
        <v>228</v>
      </c>
    </row>
    <row r="23" spans="1:6" x14ac:dyDescent="0.3">
      <c r="A23" s="5" t="s">
        <v>21</v>
      </c>
      <c r="B23" s="5">
        <v>223</v>
      </c>
      <c r="C23" s="6">
        <v>223</v>
      </c>
      <c r="D23" s="6"/>
      <c r="E23" s="6">
        <f>IF(NOT(ISNUMBER(D23)),C23,"")</f>
        <v>223</v>
      </c>
      <c r="F23" s="5">
        <v>223</v>
      </c>
    </row>
    <row r="24" spans="1:6" x14ac:dyDescent="0.3">
      <c r="A24" s="5" t="s">
        <v>22</v>
      </c>
      <c r="B24" s="5">
        <v>231.5</v>
      </c>
      <c r="C24" s="6">
        <v>231.5</v>
      </c>
      <c r="D24" s="6"/>
      <c r="E24" s="6">
        <f>IF(NOT(ISNUMBER(D24)),C24,"")</f>
        <v>231.5</v>
      </c>
      <c r="F24" s="5">
        <v>231.5</v>
      </c>
    </row>
    <row r="25" spans="1:6" x14ac:dyDescent="0.3">
      <c r="A25" s="7" t="s">
        <v>23</v>
      </c>
      <c r="B25" s="7" t="s">
        <v>139</v>
      </c>
      <c r="C25" s="7" t="s">
        <v>139</v>
      </c>
      <c r="D25" s="7">
        <f>(C26-C24)/2</f>
        <v>-17.584999999999994</v>
      </c>
      <c r="E25" s="7">
        <f>C24+D25</f>
        <v>213.91500000000002</v>
      </c>
      <c r="F25" s="5">
        <v>213.91500000000002</v>
      </c>
    </row>
    <row r="26" spans="1:6" x14ac:dyDescent="0.3">
      <c r="A26" s="5" t="s">
        <v>24</v>
      </c>
      <c r="B26" s="5">
        <v>196.33</v>
      </c>
      <c r="C26" s="6">
        <v>196.33</v>
      </c>
      <c r="D26" s="6"/>
      <c r="E26" s="6">
        <f>IF(NOT(ISNUMBER(D26)),C26,"")</f>
        <v>196.33</v>
      </c>
      <c r="F26" s="5">
        <v>196.33</v>
      </c>
    </row>
    <row r="27" spans="1:6" x14ac:dyDescent="0.3">
      <c r="A27" s="7" t="s">
        <v>25</v>
      </c>
      <c r="B27" s="7" t="s">
        <v>139</v>
      </c>
      <c r="C27" s="7" t="s">
        <v>139</v>
      </c>
      <c r="D27" s="7">
        <f>(C28-C26)/2</f>
        <v>-5.1650000000000063</v>
      </c>
      <c r="E27" s="7">
        <f>C26+D27</f>
        <v>191.16500000000002</v>
      </c>
      <c r="F27" s="5">
        <v>191.16500000000002</v>
      </c>
    </row>
    <row r="28" spans="1:6" x14ac:dyDescent="0.3">
      <c r="A28" s="5" t="s">
        <v>26</v>
      </c>
      <c r="B28" s="5">
        <v>186</v>
      </c>
      <c r="C28" s="6">
        <v>186</v>
      </c>
      <c r="D28" s="6"/>
      <c r="E28" s="6">
        <f t="shared" ref="E28:E46" si="1">IF(NOT(ISNUMBER(D28)),C28,"")</f>
        <v>186</v>
      </c>
      <c r="F28" s="5">
        <v>186</v>
      </c>
    </row>
    <row r="29" spans="1:6" x14ac:dyDescent="0.3">
      <c r="A29" s="5" t="s">
        <v>27</v>
      </c>
      <c r="B29" s="5">
        <v>190</v>
      </c>
      <c r="C29" s="6">
        <v>190</v>
      </c>
      <c r="D29" s="6"/>
      <c r="E29" s="6">
        <f t="shared" si="1"/>
        <v>190</v>
      </c>
      <c r="F29" s="5">
        <v>190</v>
      </c>
    </row>
    <row r="30" spans="1:6" x14ac:dyDescent="0.3">
      <c r="A30" s="5" t="s">
        <v>28</v>
      </c>
      <c r="B30" s="5">
        <v>230.5</v>
      </c>
      <c r="C30" s="6">
        <v>230.5</v>
      </c>
      <c r="D30" s="6"/>
      <c r="E30" s="6">
        <f t="shared" si="1"/>
        <v>230.5</v>
      </c>
      <c r="F30" s="5">
        <v>230.5</v>
      </c>
    </row>
    <row r="31" spans="1:6" x14ac:dyDescent="0.3">
      <c r="A31" s="5" t="s">
        <v>29</v>
      </c>
      <c r="B31" s="5">
        <v>240</v>
      </c>
      <c r="C31" s="6">
        <v>240</v>
      </c>
      <c r="D31" s="6"/>
      <c r="E31" s="6">
        <f t="shared" si="1"/>
        <v>240</v>
      </c>
      <c r="F31" s="5">
        <v>240</v>
      </c>
    </row>
    <row r="32" spans="1:6" x14ac:dyDescent="0.3">
      <c r="A32" s="5" t="s">
        <v>30</v>
      </c>
      <c r="B32" s="5">
        <v>255</v>
      </c>
      <c r="C32" s="6">
        <v>255</v>
      </c>
      <c r="D32" s="6"/>
      <c r="E32" s="6">
        <f t="shared" si="1"/>
        <v>255</v>
      </c>
      <c r="F32" s="5">
        <v>255</v>
      </c>
    </row>
    <row r="33" spans="1:6" x14ac:dyDescent="0.3">
      <c r="A33" s="5" t="s">
        <v>31</v>
      </c>
      <c r="B33" s="5">
        <v>243.33</v>
      </c>
      <c r="C33" s="6">
        <v>243.33</v>
      </c>
      <c r="D33" s="6"/>
      <c r="E33" s="6">
        <f t="shared" si="1"/>
        <v>243.33</v>
      </c>
      <c r="F33" s="5">
        <v>243.33</v>
      </c>
    </row>
    <row r="34" spans="1:6" x14ac:dyDescent="0.3">
      <c r="A34" s="5" t="s">
        <v>32</v>
      </c>
      <c r="B34" s="5">
        <v>215.5</v>
      </c>
      <c r="C34" s="6">
        <v>215.5</v>
      </c>
      <c r="D34" s="6"/>
      <c r="E34" s="6">
        <f t="shared" si="1"/>
        <v>215.5</v>
      </c>
      <c r="F34" s="5">
        <v>215.5</v>
      </c>
    </row>
    <row r="35" spans="1:6" x14ac:dyDescent="0.3">
      <c r="A35" s="5" t="s">
        <v>33</v>
      </c>
      <c r="B35" s="5">
        <v>218.5</v>
      </c>
      <c r="C35" s="6">
        <v>218.5</v>
      </c>
      <c r="D35" s="6"/>
      <c r="E35" s="6">
        <f t="shared" si="1"/>
        <v>218.5</v>
      </c>
      <c r="F35" s="5">
        <v>218.5</v>
      </c>
    </row>
    <row r="36" spans="1:6" x14ac:dyDescent="0.3">
      <c r="A36" s="5" t="s">
        <v>34</v>
      </c>
      <c r="B36" s="5">
        <v>232.25</v>
      </c>
      <c r="C36" s="6">
        <v>232.25</v>
      </c>
      <c r="D36" s="6"/>
      <c r="E36" s="6">
        <f t="shared" si="1"/>
        <v>232.25</v>
      </c>
      <c r="F36" s="5">
        <v>232.25</v>
      </c>
    </row>
    <row r="37" spans="1:6" x14ac:dyDescent="0.3">
      <c r="A37" s="5" t="s">
        <v>35</v>
      </c>
      <c r="B37" s="5">
        <v>250.88</v>
      </c>
      <c r="C37" s="6">
        <v>250.88</v>
      </c>
      <c r="D37" s="6"/>
      <c r="E37" s="6">
        <f t="shared" si="1"/>
        <v>250.88</v>
      </c>
      <c r="F37" s="5">
        <v>250.88</v>
      </c>
    </row>
    <row r="38" spans="1:6" x14ac:dyDescent="0.3">
      <c r="A38" s="5" t="s">
        <v>36</v>
      </c>
      <c r="B38" s="5">
        <v>283</v>
      </c>
      <c r="C38" s="6">
        <v>283</v>
      </c>
      <c r="D38" s="6"/>
      <c r="E38" s="6">
        <f t="shared" si="1"/>
        <v>283</v>
      </c>
      <c r="F38" s="5">
        <v>283</v>
      </c>
    </row>
    <row r="39" spans="1:6" x14ac:dyDescent="0.3">
      <c r="A39" s="5" t="s">
        <v>37</v>
      </c>
      <c r="B39" s="5">
        <v>324</v>
      </c>
      <c r="C39" s="6">
        <v>324</v>
      </c>
      <c r="D39" s="6"/>
      <c r="E39" s="6">
        <f t="shared" si="1"/>
        <v>324</v>
      </c>
      <c r="F39" s="5">
        <v>324</v>
      </c>
    </row>
    <row r="40" spans="1:6" x14ac:dyDescent="0.3">
      <c r="A40" s="5" t="s">
        <v>38</v>
      </c>
      <c r="B40" s="5">
        <v>329</v>
      </c>
      <c r="C40" s="6">
        <v>329</v>
      </c>
      <c r="D40" s="6"/>
      <c r="E40" s="6">
        <f t="shared" si="1"/>
        <v>329</v>
      </c>
      <c r="F40" s="5">
        <v>329</v>
      </c>
    </row>
    <row r="41" spans="1:6" x14ac:dyDescent="0.3">
      <c r="A41" s="5" t="s">
        <v>39</v>
      </c>
      <c r="B41" s="5">
        <v>308.75</v>
      </c>
      <c r="C41" s="6">
        <v>308.75</v>
      </c>
      <c r="D41" s="6"/>
      <c r="E41" s="6">
        <f t="shared" si="1"/>
        <v>308.75</v>
      </c>
      <c r="F41" s="5">
        <v>308.75</v>
      </c>
    </row>
    <row r="42" spans="1:6" x14ac:dyDescent="0.3">
      <c r="A42" s="5" t="s">
        <v>40</v>
      </c>
      <c r="B42" s="5">
        <v>312</v>
      </c>
      <c r="C42" s="6">
        <v>312</v>
      </c>
      <c r="D42" s="6"/>
      <c r="E42" s="6">
        <f t="shared" si="1"/>
        <v>312</v>
      </c>
      <c r="F42" s="5">
        <v>312</v>
      </c>
    </row>
    <row r="43" spans="1:6" x14ac:dyDescent="0.3">
      <c r="A43" s="5" t="s">
        <v>41</v>
      </c>
      <c r="B43" s="5">
        <v>343</v>
      </c>
      <c r="C43" s="6">
        <v>343</v>
      </c>
      <c r="D43" s="6"/>
      <c r="E43" s="6">
        <f t="shared" si="1"/>
        <v>343</v>
      </c>
      <c r="F43" s="5">
        <v>343</v>
      </c>
    </row>
    <row r="44" spans="1:6" x14ac:dyDescent="0.3">
      <c r="A44" s="5" t="s">
        <v>42</v>
      </c>
      <c r="B44" s="5">
        <v>322.5</v>
      </c>
      <c r="C44" s="6">
        <v>322.5</v>
      </c>
      <c r="D44" s="6"/>
      <c r="E44" s="6">
        <f t="shared" si="1"/>
        <v>322.5</v>
      </c>
      <c r="F44" s="5">
        <v>322.5</v>
      </c>
    </row>
    <row r="45" spans="1:6" x14ac:dyDescent="0.3">
      <c r="A45" s="5" t="s">
        <v>43</v>
      </c>
      <c r="B45" s="5">
        <v>328.5</v>
      </c>
      <c r="C45" s="6">
        <v>328.5</v>
      </c>
      <c r="D45" s="6"/>
      <c r="E45" s="6">
        <f t="shared" si="1"/>
        <v>328.5</v>
      </c>
      <c r="F45" s="5">
        <v>328.5</v>
      </c>
    </row>
    <row r="46" spans="1:6" x14ac:dyDescent="0.3">
      <c r="A46" s="5" t="s">
        <v>44</v>
      </c>
      <c r="B46" s="5">
        <v>329</v>
      </c>
      <c r="C46" s="6">
        <v>329</v>
      </c>
      <c r="D46" s="6"/>
      <c r="E46" s="6">
        <f t="shared" si="1"/>
        <v>329</v>
      </c>
      <c r="F46" s="5">
        <v>329</v>
      </c>
    </row>
    <row r="47" spans="1:6" x14ac:dyDescent="0.3">
      <c r="A47" s="7" t="s">
        <v>45</v>
      </c>
      <c r="B47" s="7" t="s">
        <v>139</v>
      </c>
      <c r="C47" s="7" t="s">
        <v>139</v>
      </c>
      <c r="D47" s="7">
        <f>(C48-C46)/2</f>
        <v>-0.5</v>
      </c>
      <c r="E47" s="7">
        <f>C46+D47</f>
        <v>328.5</v>
      </c>
      <c r="F47" s="5">
        <v>328.5</v>
      </c>
    </row>
    <row r="48" spans="1:6" x14ac:dyDescent="0.3">
      <c r="A48" s="5" t="s">
        <v>46</v>
      </c>
      <c r="B48" s="5">
        <v>328</v>
      </c>
      <c r="C48" s="6">
        <v>328</v>
      </c>
      <c r="D48" s="6"/>
      <c r="E48" s="6">
        <f t="shared" ref="E48:E54" si="2">IF(NOT(ISNUMBER(D48)),C48,"")</f>
        <v>328</v>
      </c>
      <c r="F48" s="5">
        <v>328</v>
      </c>
    </row>
    <row r="49" spans="1:6" x14ac:dyDescent="0.3">
      <c r="A49" s="5" t="s">
        <v>47</v>
      </c>
      <c r="B49" s="5">
        <v>320</v>
      </c>
      <c r="C49" s="6">
        <v>320</v>
      </c>
      <c r="D49" s="6"/>
      <c r="E49" s="6">
        <f t="shared" si="2"/>
        <v>320</v>
      </c>
      <c r="F49" s="5">
        <v>320</v>
      </c>
    </row>
    <row r="50" spans="1:6" x14ac:dyDescent="0.3">
      <c r="A50" s="5" t="s">
        <v>48</v>
      </c>
      <c r="B50" s="5">
        <v>324.7</v>
      </c>
      <c r="C50" s="6">
        <v>324.7</v>
      </c>
      <c r="D50" s="6"/>
      <c r="E50" s="6">
        <f t="shared" si="2"/>
        <v>324.7</v>
      </c>
      <c r="F50" s="5">
        <v>324.7</v>
      </c>
    </row>
    <row r="51" spans="1:6" x14ac:dyDescent="0.3">
      <c r="A51" s="5" t="s">
        <v>49</v>
      </c>
      <c r="B51" s="5">
        <v>295</v>
      </c>
      <c r="C51" s="6">
        <v>295</v>
      </c>
      <c r="D51" s="6"/>
      <c r="E51" s="6">
        <f t="shared" si="2"/>
        <v>295</v>
      </c>
      <c r="F51" s="5">
        <v>295</v>
      </c>
    </row>
    <row r="52" spans="1:6" x14ac:dyDescent="0.3">
      <c r="A52" s="5" t="s">
        <v>50</v>
      </c>
      <c r="B52" s="5">
        <v>252.5</v>
      </c>
      <c r="C52" s="6">
        <v>252.5</v>
      </c>
      <c r="D52" s="6"/>
      <c r="E52" s="6">
        <f t="shared" si="2"/>
        <v>252.5</v>
      </c>
      <c r="F52" s="5">
        <v>252.5</v>
      </c>
    </row>
    <row r="53" spans="1:6" x14ac:dyDescent="0.3">
      <c r="A53" s="5" t="s">
        <v>51</v>
      </c>
      <c r="B53" s="5">
        <v>258.75</v>
      </c>
      <c r="C53" s="6">
        <v>258.75</v>
      </c>
      <c r="D53" s="6"/>
      <c r="E53" s="6">
        <f t="shared" si="2"/>
        <v>258.75</v>
      </c>
      <c r="F53" s="5">
        <v>258.75</v>
      </c>
    </row>
    <row r="54" spans="1:6" x14ac:dyDescent="0.3">
      <c r="A54" s="5" t="s">
        <v>52</v>
      </c>
      <c r="B54" s="5">
        <v>245.5</v>
      </c>
      <c r="C54" s="6">
        <v>245.5</v>
      </c>
      <c r="D54" s="6"/>
      <c r="E54" s="6">
        <f t="shared" si="2"/>
        <v>245.5</v>
      </c>
      <c r="F54" s="5">
        <v>245.5</v>
      </c>
    </row>
    <row r="55" spans="1:6" x14ac:dyDescent="0.3">
      <c r="A55" s="7" t="s">
        <v>53</v>
      </c>
      <c r="B55" s="7" t="s">
        <v>139</v>
      </c>
      <c r="C55" s="7" t="s">
        <v>139</v>
      </c>
      <c r="D55" s="7">
        <f>(C56-C54)/2</f>
        <v>19.75</v>
      </c>
      <c r="E55" s="7">
        <f>C54+D55</f>
        <v>265.25</v>
      </c>
      <c r="F55" s="5">
        <v>265.25</v>
      </c>
    </row>
    <row r="56" spans="1:6" x14ac:dyDescent="0.3">
      <c r="A56" s="5" t="s">
        <v>54</v>
      </c>
      <c r="B56" s="5">
        <v>285</v>
      </c>
      <c r="C56" s="6">
        <v>285</v>
      </c>
      <c r="D56" s="6"/>
      <c r="E56" s="6">
        <f>IF(NOT(ISNUMBER(D56)),C56,"")</f>
        <v>285</v>
      </c>
      <c r="F56" s="5">
        <v>285</v>
      </c>
    </row>
    <row r="57" spans="1:6" x14ac:dyDescent="0.3">
      <c r="A57" s="7" t="s">
        <v>55</v>
      </c>
      <c r="B57" s="7" t="s">
        <v>139</v>
      </c>
      <c r="C57" s="7" t="s">
        <v>139</v>
      </c>
      <c r="D57" s="7">
        <f>(C60-C56)/4</f>
        <v>-9.25</v>
      </c>
      <c r="E57" s="7">
        <f>$C$56+D57</f>
        <v>275.75</v>
      </c>
      <c r="F57" s="5">
        <v>275.75</v>
      </c>
    </row>
    <row r="58" spans="1:6" x14ac:dyDescent="0.3">
      <c r="A58" s="7" t="s">
        <v>56</v>
      </c>
      <c r="B58" s="7" t="s">
        <v>139</v>
      </c>
      <c r="C58" s="7" t="s">
        <v>139</v>
      </c>
      <c r="D58" s="7">
        <f>(C60-C56)*2/4</f>
        <v>-18.5</v>
      </c>
      <c r="E58" s="7">
        <f>$C$56+D58</f>
        <v>266.5</v>
      </c>
      <c r="F58" s="5">
        <v>266.5</v>
      </c>
    </row>
    <row r="59" spans="1:6" x14ac:dyDescent="0.3">
      <c r="A59" s="7" t="s">
        <v>57</v>
      </c>
      <c r="B59" s="7" t="s">
        <v>139</v>
      </c>
      <c r="C59" s="7" t="s">
        <v>139</v>
      </c>
      <c r="D59" s="7">
        <f>(C60-C56)*3/4</f>
        <v>-27.75</v>
      </c>
      <c r="E59" s="7">
        <f>$C$56+D59</f>
        <v>257.25</v>
      </c>
      <c r="F59" s="5">
        <v>257.25</v>
      </c>
    </row>
    <row r="60" spans="1:6" x14ac:dyDescent="0.3">
      <c r="A60" s="5" t="s">
        <v>58</v>
      </c>
      <c r="B60" s="5">
        <v>248</v>
      </c>
      <c r="C60" s="6">
        <v>248</v>
      </c>
      <c r="D60" s="6"/>
      <c r="E60" s="6">
        <f>IF(NOT(ISNUMBER(D60)),C60,"")</f>
        <v>248</v>
      </c>
      <c r="F60" s="5">
        <v>248</v>
      </c>
    </row>
    <row r="61" spans="1:6" x14ac:dyDescent="0.3">
      <c r="A61" s="7" t="s">
        <v>59</v>
      </c>
      <c r="B61" s="7" t="s">
        <v>139</v>
      </c>
      <c r="C61" s="7" t="s">
        <v>139</v>
      </c>
      <c r="D61" s="7">
        <f>(C62-C60)/2</f>
        <v>4.5</v>
      </c>
      <c r="E61" s="7">
        <f>C60+D61</f>
        <v>252.5</v>
      </c>
      <c r="F61" s="5">
        <v>252.5</v>
      </c>
    </row>
    <row r="62" spans="1:6" x14ac:dyDescent="0.3">
      <c r="A62" s="5" t="s">
        <v>60</v>
      </c>
      <c r="B62" s="5">
        <v>257</v>
      </c>
      <c r="C62" s="6">
        <v>257</v>
      </c>
      <c r="D62" s="6"/>
      <c r="E62" s="6">
        <f>IF(NOT(ISNUMBER(D62)),C62,"")</f>
        <v>257</v>
      </c>
      <c r="F62" s="5">
        <v>257</v>
      </c>
    </row>
    <row r="63" spans="1:6" x14ac:dyDescent="0.3">
      <c r="A63" s="5" t="s">
        <v>61</v>
      </c>
      <c r="B63" s="5">
        <v>242.5</v>
      </c>
      <c r="C63" s="6">
        <v>242.5</v>
      </c>
      <c r="D63" s="6"/>
      <c r="E63" s="6">
        <f>IF(NOT(ISNUMBER(D63)),C63,"")</f>
        <v>242.5</v>
      </c>
      <c r="F63" s="5">
        <v>242.5</v>
      </c>
    </row>
    <row r="64" spans="1:6" x14ac:dyDescent="0.3">
      <c r="A64" s="5" t="s">
        <v>62</v>
      </c>
      <c r="B64" s="5">
        <v>237.13</v>
      </c>
      <c r="C64" s="6">
        <v>237.13</v>
      </c>
      <c r="D64" s="6"/>
      <c r="E64" s="6">
        <f>IF(NOT(ISNUMBER(D64)),C64,"")</f>
        <v>237.13</v>
      </c>
      <c r="F64" s="5">
        <v>237.13</v>
      </c>
    </row>
    <row r="65" spans="1:6" x14ac:dyDescent="0.3">
      <c r="A65" s="7" t="s">
        <v>63</v>
      </c>
      <c r="B65" s="7" t="s">
        <v>139</v>
      </c>
      <c r="C65" s="7" t="s">
        <v>139</v>
      </c>
      <c r="D65" s="7">
        <f>(C66-C64)/2</f>
        <v>6.4350000000000023</v>
      </c>
      <c r="E65" s="7">
        <f>C64+D65</f>
        <v>243.565</v>
      </c>
      <c r="F65" s="5">
        <v>243.565</v>
      </c>
    </row>
    <row r="66" spans="1:6" x14ac:dyDescent="0.3">
      <c r="A66" s="5" t="s">
        <v>64</v>
      </c>
      <c r="B66" s="5">
        <v>250</v>
      </c>
      <c r="C66" s="6">
        <v>250</v>
      </c>
      <c r="D66" s="6"/>
      <c r="E66" s="6">
        <f>IF(NOT(ISNUMBER(D66)),C66,"")</f>
        <v>250</v>
      </c>
      <c r="F66" s="5">
        <v>250</v>
      </c>
    </row>
    <row r="67" spans="1:6" x14ac:dyDescent="0.3">
      <c r="A67" s="7" t="s">
        <v>53</v>
      </c>
      <c r="B67" s="7" t="s">
        <v>139</v>
      </c>
      <c r="C67" s="7" t="s">
        <v>139</v>
      </c>
      <c r="D67" s="7">
        <f>(C68-C66)/2</f>
        <v>14</v>
      </c>
      <c r="E67" s="7">
        <f>C66+D67</f>
        <v>264</v>
      </c>
      <c r="F67" s="5">
        <v>264</v>
      </c>
    </row>
    <row r="68" spans="1:6" x14ac:dyDescent="0.3">
      <c r="A68" s="5" t="s">
        <v>65</v>
      </c>
      <c r="B68" s="5">
        <v>278</v>
      </c>
      <c r="C68" s="6">
        <v>278</v>
      </c>
      <c r="D68" s="6"/>
      <c r="E68" s="6">
        <f>IF(NOT(ISNUMBER(D68)),C68,"")</f>
        <v>278</v>
      </c>
      <c r="F68" s="5">
        <v>278</v>
      </c>
    </row>
    <row r="69" spans="1:6" x14ac:dyDescent="0.3">
      <c r="A69" s="7" t="s">
        <v>66</v>
      </c>
      <c r="B69" s="7" t="s">
        <v>139</v>
      </c>
      <c r="C69" s="7" t="s">
        <v>139</v>
      </c>
      <c r="D69" s="7">
        <f>(C71-C68)/3</f>
        <v>-2.6666666666666665</v>
      </c>
      <c r="E69" s="7">
        <f>$C$68+D69</f>
        <v>275.33333333333331</v>
      </c>
      <c r="F69" s="5">
        <v>275.33333333333331</v>
      </c>
    </row>
    <row r="70" spans="1:6" x14ac:dyDescent="0.3">
      <c r="A70" s="7" t="s">
        <v>67</v>
      </c>
      <c r="B70" s="7" t="s">
        <v>139</v>
      </c>
      <c r="C70" s="7" t="s">
        <v>139</v>
      </c>
      <c r="D70" s="7">
        <f>(C71-C68)*2/3</f>
        <v>-5.333333333333333</v>
      </c>
      <c r="E70" s="7">
        <f>$C$68+D70</f>
        <v>272.66666666666669</v>
      </c>
      <c r="F70" s="5">
        <v>272.66666666666669</v>
      </c>
    </row>
    <row r="71" spans="1:6" x14ac:dyDescent="0.3">
      <c r="A71" s="5" t="s">
        <v>68</v>
      </c>
      <c r="B71" s="5">
        <v>270</v>
      </c>
      <c r="C71" s="8">
        <v>270</v>
      </c>
      <c r="D71" s="6"/>
      <c r="E71" s="6">
        <f>IF(NOT(ISNUMBER(D71)),C71,"")</f>
        <v>270</v>
      </c>
      <c r="F71" s="5">
        <v>270</v>
      </c>
    </row>
    <row r="72" spans="1:6" x14ac:dyDescent="0.3">
      <c r="A72" s="7" t="s">
        <v>69</v>
      </c>
      <c r="B72" s="7" t="s">
        <v>139</v>
      </c>
      <c r="C72" s="7" t="s">
        <v>139</v>
      </c>
      <c r="D72" s="7">
        <f>(C73-C71)/2</f>
        <v>25.699999999999989</v>
      </c>
      <c r="E72" s="7">
        <f>C71+D72</f>
        <v>295.7</v>
      </c>
      <c r="F72" s="5">
        <v>295.7</v>
      </c>
    </row>
    <row r="73" spans="1:6" x14ac:dyDescent="0.3">
      <c r="A73" s="5" t="s">
        <v>70</v>
      </c>
      <c r="B73" s="5">
        <v>321.39999999999998</v>
      </c>
      <c r="C73" s="6">
        <v>321.39999999999998</v>
      </c>
      <c r="D73" s="6"/>
      <c r="E73" s="6">
        <f>IF(NOT(ISNUMBER(D73)),C73,"")</f>
        <v>321.39999999999998</v>
      </c>
      <c r="F73" s="5">
        <v>321.39999999999998</v>
      </c>
    </row>
    <row r="74" spans="1:6" x14ac:dyDescent="0.3">
      <c r="A74" s="5" t="s">
        <v>71</v>
      </c>
      <c r="B74" s="5">
        <v>308</v>
      </c>
      <c r="C74" s="6">
        <v>308</v>
      </c>
      <c r="D74" s="6"/>
      <c r="E74" s="6">
        <f>IF(NOT(ISNUMBER(D74)),C74,"")</f>
        <v>308</v>
      </c>
      <c r="F74" s="5">
        <v>308</v>
      </c>
    </row>
    <row r="75" spans="1:6" x14ac:dyDescent="0.3">
      <c r="A75" s="5" t="s">
        <v>72</v>
      </c>
      <c r="B75" s="5">
        <v>315</v>
      </c>
      <c r="C75" s="6">
        <v>315</v>
      </c>
      <c r="D75" s="6"/>
      <c r="E75" s="6">
        <f>IF(NOT(ISNUMBER(D75)),C75,"")</f>
        <v>315</v>
      </c>
      <c r="F75" s="5">
        <v>315</v>
      </c>
    </row>
    <row r="76" spans="1:6" x14ac:dyDescent="0.3">
      <c r="A76" s="5" t="s">
        <v>73</v>
      </c>
      <c r="B76" s="5">
        <v>263</v>
      </c>
      <c r="C76" s="6">
        <v>263</v>
      </c>
      <c r="D76" s="6"/>
      <c r="E76" s="6">
        <f>IF(NOT(ISNUMBER(D76)),C76,"")</f>
        <v>263</v>
      </c>
      <c r="F76" s="5">
        <v>263</v>
      </c>
    </row>
    <row r="77" spans="1:6" x14ac:dyDescent="0.3">
      <c r="A77" s="5" t="s">
        <v>74</v>
      </c>
      <c r="B77" s="5">
        <v>273</v>
      </c>
      <c r="C77" s="6">
        <v>273</v>
      </c>
      <c r="D77" s="6"/>
      <c r="E77" s="6">
        <f>IF(NOT(ISNUMBER(D77)),C77,"")</f>
        <v>273</v>
      </c>
      <c r="F77" s="5">
        <v>273</v>
      </c>
    </row>
    <row r="78" spans="1:6" x14ac:dyDescent="0.3">
      <c r="A78" s="7" t="s">
        <v>75</v>
      </c>
      <c r="B78" s="7" t="s">
        <v>139</v>
      </c>
      <c r="C78" s="7" t="s">
        <v>139</v>
      </c>
      <c r="D78" s="7">
        <f>($C$82-$C$77)/5</f>
        <v>1</v>
      </c>
      <c r="E78" s="7">
        <f>$C$77+D78</f>
        <v>274</v>
      </c>
      <c r="F78" s="5">
        <v>274</v>
      </c>
    </row>
    <row r="79" spans="1:6" x14ac:dyDescent="0.3">
      <c r="A79" s="7" t="s">
        <v>76</v>
      </c>
      <c r="B79" s="7" t="s">
        <v>139</v>
      </c>
      <c r="C79" s="7" t="s">
        <v>139</v>
      </c>
      <c r="D79" s="7">
        <f>($C$82-$C$77)*2/5</f>
        <v>2</v>
      </c>
      <c r="E79" s="7">
        <f>$C$77+D79</f>
        <v>275</v>
      </c>
      <c r="F79" s="5">
        <v>275</v>
      </c>
    </row>
    <row r="80" spans="1:6" x14ac:dyDescent="0.3">
      <c r="A80" s="7" t="s">
        <v>77</v>
      </c>
      <c r="B80" s="7" t="s">
        <v>139</v>
      </c>
      <c r="C80" s="7" t="s">
        <v>139</v>
      </c>
      <c r="D80" s="7">
        <f>($C$82-$C$77)*3/5</f>
        <v>3</v>
      </c>
      <c r="E80" s="7">
        <f>$C$77+D80</f>
        <v>276</v>
      </c>
      <c r="F80" s="5">
        <v>276</v>
      </c>
    </row>
    <row r="81" spans="1:6" x14ac:dyDescent="0.3">
      <c r="A81" s="7" t="s">
        <v>78</v>
      </c>
      <c r="B81" s="7" t="s">
        <v>139</v>
      </c>
      <c r="C81" s="7" t="s">
        <v>139</v>
      </c>
      <c r="D81" s="7">
        <f>($C$82-$C$77)*4/5</f>
        <v>4</v>
      </c>
      <c r="E81" s="7">
        <f>$C$77+D81</f>
        <v>277</v>
      </c>
      <c r="F81" s="5">
        <v>277</v>
      </c>
    </row>
    <row r="82" spans="1:6" x14ac:dyDescent="0.3">
      <c r="A82" s="5" t="s">
        <v>79</v>
      </c>
      <c r="B82" s="5">
        <v>278</v>
      </c>
      <c r="C82" s="6">
        <v>278</v>
      </c>
      <c r="D82" s="6"/>
      <c r="E82" s="6">
        <f>IF(NOT(ISNUMBER(D82)),C82,"")</f>
        <v>278</v>
      </c>
      <c r="F82" s="5">
        <v>278</v>
      </c>
    </row>
    <row r="83" spans="1:6" x14ac:dyDescent="0.3">
      <c r="A83" s="7" t="s">
        <v>80</v>
      </c>
      <c r="B83" s="7" t="s">
        <v>139</v>
      </c>
      <c r="C83" s="7" t="s">
        <v>139</v>
      </c>
      <c r="D83" s="7">
        <f>(C84-C82)/2</f>
        <v>29.75</v>
      </c>
      <c r="E83" s="7">
        <f>C82+D83</f>
        <v>307.75</v>
      </c>
      <c r="F83" s="5">
        <v>307.75</v>
      </c>
    </row>
    <row r="84" spans="1:6" x14ac:dyDescent="0.3">
      <c r="A84" s="5" t="s">
        <v>81</v>
      </c>
      <c r="B84" s="5">
        <v>337.5</v>
      </c>
      <c r="C84" s="6">
        <v>337.5</v>
      </c>
      <c r="D84" s="6"/>
      <c r="E84" s="6">
        <f t="shared" ref="E84:E92" si="3">IF(NOT(ISNUMBER(D84)),C84,"")</f>
        <v>337.5</v>
      </c>
      <c r="F84" s="5">
        <v>337.5</v>
      </c>
    </row>
    <row r="85" spans="1:6" x14ac:dyDescent="0.3">
      <c r="A85" s="5" t="s">
        <v>82</v>
      </c>
      <c r="B85" s="5">
        <v>375</v>
      </c>
      <c r="C85" s="6">
        <v>375</v>
      </c>
      <c r="D85" s="6"/>
      <c r="E85" s="6">
        <f t="shared" si="3"/>
        <v>375</v>
      </c>
      <c r="F85" s="5">
        <v>375</v>
      </c>
    </row>
    <row r="86" spans="1:6" x14ac:dyDescent="0.3">
      <c r="A86" s="5" t="s">
        <v>83</v>
      </c>
      <c r="B86" s="5">
        <v>390.5</v>
      </c>
      <c r="C86" s="6">
        <v>390.5</v>
      </c>
      <c r="D86" s="6"/>
      <c r="E86" s="6">
        <f t="shared" si="3"/>
        <v>390.5</v>
      </c>
      <c r="F86" s="5">
        <v>390.5</v>
      </c>
    </row>
    <row r="87" spans="1:6" x14ac:dyDescent="0.3">
      <c r="A87" s="5" t="s">
        <v>84</v>
      </c>
      <c r="B87" s="5">
        <v>434</v>
      </c>
      <c r="C87" s="6">
        <v>434</v>
      </c>
      <c r="D87" s="6"/>
      <c r="E87" s="6">
        <f t="shared" si="3"/>
        <v>434</v>
      </c>
      <c r="F87" s="5">
        <v>434</v>
      </c>
    </row>
    <row r="88" spans="1:6" x14ac:dyDescent="0.3">
      <c r="A88" s="5" t="s">
        <v>85</v>
      </c>
      <c r="B88" s="5">
        <v>416</v>
      </c>
      <c r="C88" s="6">
        <v>416</v>
      </c>
      <c r="D88" s="6"/>
      <c r="E88" s="6">
        <f t="shared" si="3"/>
        <v>416</v>
      </c>
      <c r="F88" s="5">
        <v>416</v>
      </c>
    </row>
    <row r="89" spans="1:6" x14ac:dyDescent="0.3">
      <c r="A89" s="5" t="s">
        <v>86</v>
      </c>
      <c r="B89" s="5">
        <v>409</v>
      </c>
      <c r="C89" s="6">
        <v>409</v>
      </c>
      <c r="D89" s="6"/>
      <c r="E89" s="6">
        <f t="shared" si="3"/>
        <v>409</v>
      </c>
      <c r="F89" s="5">
        <v>409</v>
      </c>
    </row>
    <row r="90" spans="1:6" x14ac:dyDescent="0.3">
      <c r="A90" s="5" t="s">
        <v>87</v>
      </c>
      <c r="B90" s="5">
        <v>410</v>
      </c>
      <c r="C90" s="6">
        <v>410</v>
      </c>
      <c r="D90" s="6"/>
      <c r="E90" s="6">
        <f t="shared" si="3"/>
        <v>410</v>
      </c>
      <c r="F90" s="5">
        <v>410</v>
      </c>
    </row>
    <row r="91" spans="1:6" x14ac:dyDescent="0.3">
      <c r="A91" s="5" t="s">
        <v>88</v>
      </c>
      <c r="B91" s="5">
        <v>432.5</v>
      </c>
      <c r="C91" s="6">
        <v>432.5</v>
      </c>
      <c r="D91" s="6"/>
      <c r="E91" s="6">
        <f t="shared" si="3"/>
        <v>432.5</v>
      </c>
      <c r="F91" s="5">
        <v>432.5</v>
      </c>
    </row>
    <row r="92" spans="1:6" x14ac:dyDescent="0.3">
      <c r="A92" s="5" t="s">
        <v>89</v>
      </c>
      <c r="B92" s="5">
        <v>450</v>
      </c>
      <c r="C92" s="6">
        <v>450</v>
      </c>
      <c r="D92" s="6"/>
      <c r="E92" s="6">
        <f t="shared" si="3"/>
        <v>450</v>
      </c>
      <c r="F92" s="5">
        <v>450</v>
      </c>
    </row>
    <row r="93" spans="1:6" x14ac:dyDescent="0.3">
      <c r="A93" s="7" t="s">
        <v>90</v>
      </c>
      <c r="B93" s="7" t="s">
        <v>140</v>
      </c>
      <c r="C93" s="7" t="s">
        <v>140</v>
      </c>
      <c r="D93" s="7">
        <f>(C94-C92)/2</f>
        <v>-7.5</v>
      </c>
      <c r="E93" s="7">
        <f>C92+D93</f>
        <v>442.5</v>
      </c>
      <c r="F93" s="5">
        <v>442.5</v>
      </c>
    </row>
    <row r="94" spans="1:6" x14ac:dyDescent="0.3">
      <c r="A94" s="5" t="s">
        <v>91</v>
      </c>
      <c r="B94" s="5">
        <v>435</v>
      </c>
      <c r="C94" s="6">
        <v>435</v>
      </c>
      <c r="D94" s="6"/>
      <c r="E94" s="6">
        <f>IF(NOT(ISNUMBER(D94)),C94,"")</f>
        <v>435</v>
      </c>
      <c r="F94" s="5">
        <v>435</v>
      </c>
    </row>
    <row r="95" spans="1:6" x14ac:dyDescent="0.3">
      <c r="A95" s="5" t="s">
        <v>92</v>
      </c>
      <c r="B95" s="5">
        <v>442.67</v>
      </c>
      <c r="C95" s="6">
        <v>442.67</v>
      </c>
      <c r="D95" s="6"/>
      <c r="E95" s="6">
        <f>IF(NOT(ISNUMBER(D95)),C95,"")</f>
        <v>442.67</v>
      </c>
      <c r="F95" s="5">
        <v>442.67</v>
      </c>
    </row>
    <row r="96" spans="1:6" x14ac:dyDescent="0.3">
      <c r="A96" s="5" t="s">
        <v>93</v>
      </c>
      <c r="B96" s="5">
        <v>463</v>
      </c>
      <c r="C96" s="6">
        <v>463</v>
      </c>
      <c r="D96" s="6"/>
      <c r="E96" s="6">
        <f>IF(NOT(ISNUMBER(D96)),C96,"")</f>
        <v>463</v>
      </c>
      <c r="F96" s="5">
        <v>463</v>
      </c>
    </row>
    <row r="97" spans="1:6" x14ac:dyDescent="0.3">
      <c r="A97" s="7" t="s">
        <v>94</v>
      </c>
      <c r="B97" s="7" t="s">
        <v>140</v>
      </c>
      <c r="C97" s="7" t="s">
        <v>140</v>
      </c>
      <c r="D97" s="7">
        <f>(C98-C96)/2</f>
        <v>0</v>
      </c>
      <c r="E97" s="7">
        <f>C96+D97</f>
        <v>463</v>
      </c>
      <c r="F97" s="5">
        <v>463</v>
      </c>
    </row>
    <row r="98" spans="1:6" x14ac:dyDescent="0.3">
      <c r="A98" s="5" t="s">
        <v>95</v>
      </c>
      <c r="B98" s="5">
        <v>463</v>
      </c>
      <c r="C98" s="6">
        <v>463</v>
      </c>
      <c r="D98" s="6"/>
      <c r="E98" s="6">
        <f>IF(NOT(ISNUMBER(D98)),C98,"")</f>
        <v>463</v>
      </c>
      <c r="F98" s="5">
        <v>463</v>
      </c>
    </row>
    <row r="99" spans="1:6" x14ac:dyDescent="0.3">
      <c r="A99" s="5" t="s">
        <v>96</v>
      </c>
      <c r="B99" s="5">
        <v>440</v>
      </c>
      <c r="C99" s="8">
        <v>440</v>
      </c>
      <c r="D99" s="6"/>
      <c r="E99" s="6">
        <f>IF(NOT(ISNUMBER(D99)),C99,"")</f>
        <v>440</v>
      </c>
      <c r="F99" s="5">
        <v>440</v>
      </c>
    </row>
    <row r="100" spans="1:6" x14ac:dyDescent="0.3">
      <c r="A100" s="7" t="s">
        <v>97</v>
      </c>
      <c r="B100" s="7" t="s">
        <v>140</v>
      </c>
      <c r="C100" s="7" t="s">
        <v>140</v>
      </c>
      <c r="D100" s="7">
        <f>(C101-C99)/2</f>
        <v>31.5</v>
      </c>
      <c r="E100" s="7">
        <f>C99+D100</f>
        <v>471.5</v>
      </c>
      <c r="F100" s="5">
        <v>471.5</v>
      </c>
    </row>
    <row r="101" spans="1:6" x14ac:dyDescent="0.3">
      <c r="A101" s="5" t="s">
        <v>98</v>
      </c>
      <c r="B101" s="5">
        <v>503</v>
      </c>
      <c r="C101" s="6">
        <v>503</v>
      </c>
      <c r="D101" s="6"/>
      <c r="E101" s="6">
        <f>IF(NOT(ISNUMBER(D101)),C101,"")</f>
        <v>503</v>
      </c>
      <c r="F101" s="5">
        <v>503</v>
      </c>
    </row>
    <row r="102" spans="1:6" x14ac:dyDescent="0.3">
      <c r="A102" s="5" t="s">
        <v>99</v>
      </c>
      <c r="B102" s="5">
        <v>629</v>
      </c>
      <c r="C102" s="6">
        <v>629</v>
      </c>
      <c r="D102" s="6"/>
      <c r="E102" s="6">
        <f>IF(NOT(ISNUMBER(D102)),C102,"")</f>
        <v>629</v>
      </c>
      <c r="F102" s="5">
        <v>629</v>
      </c>
    </row>
    <row r="103" spans="1:6" x14ac:dyDescent="0.3">
      <c r="A103" s="7" t="s">
        <v>100</v>
      </c>
      <c r="B103" s="7" t="s">
        <v>140</v>
      </c>
      <c r="C103" s="7" t="s">
        <v>140</v>
      </c>
      <c r="D103" s="7">
        <f>(C104-C102)/2</f>
        <v>57</v>
      </c>
      <c r="E103" s="7">
        <f>C102+D103</f>
        <v>686</v>
      </c>
      <c r="F103" s="5">
        <v>686</v>
      </c>
    </row>
    <row r="104" spans="1:6" x14ac:dyDescent="0.3">
      <c r="A104" s="5" t="s">
        <v>101</v>
      </c>
      <c r="B104" s="5">
        <v>743</v>
      </c>
      <c r="C104" s="6">
        <v>743</v>
      </c>
      <c r="D104" s="6"/>
      <c r="E104" s="6">
        <f>IF(NOT(ISNUMBER(D104)),C104,"")</f>
        <v>743</v>
      </c>
      <c r="F104" s="5">
        <v>743</v>
      </c>
    </row>
    <row r="105" spans="1:6" x14ac:dyDescent="0.3">
      <c r="A105" s="7" t="s">
        <v>102</v>
      </c>
      <c r="B105" s="7" t="s">
        <v>140</v>
      </c>
      <c r="C105" s="7" t="s">
        <v>140</v>
      </c>
      <c r="D105" s="7">
        <f>(C106-C104)/2</f>
        <v>-41.5</v>
      </c>
      <c r="E105" s="7">
        <f>C104+D105</f>
        <v>701.5</v>
      </c>
      <c r="F105" s="5">
        <v>701.5</v>
      </c>
    </row>
    <row r="106" spans="1:6" x14ac:dyDescent="0.3">
      <c r="A106" s="5" t="s">
        <v>103</v>
      </c>
      <c r="B106" s="5">
        <v>660</v>
      </c>
      <c r="C106" s="6">
        <v>660</v>
      </c>
      <c r="D106" s="6"/>
      <c r="E106" s="6">
        <f>IF(NOT(ISNUMBER(D106)),C106,"")</f>
        <v>660</v>
      </c>
      <c r="F106" s="5">
        <v>660</v>
      </c>
    </row>
    <row r="107" spans="1:6" x14ac:dyDescent="0.3">
      <c r="A107" s="7" t="s">
        <v>104</v>
      </c>
      <c r="B107" s="7" t="s">
        <v>140</v>
      </c>
      <c r="C107" s="7" t="s">
        <v>140</v>
      </c>
      <c r="D107" s="7">
        <f>(C108-C106)/2</f>
        <v>-85.25</v>
      </c>
      <c r="E107" s="7">
        <f>C106+D107</f>
        <v>574.75</v>
      </c>
      <c r="F107" s="5">
        <v>574.75</v>
      </c>
    </row>
    <row r="108" spans="1:6" x14ac:dyDescent="0.3">
      <c r="A108" s="5" t="s">
        <v>105</v>
      </c>
      <c r="B108" s="5">
        <v>489.5</v>
      </c>
      <c r="C108" s="6">
        <v>489.5</v>
      </c>
      <c r="D108" s="6"/>
      <c r="E108" s="6">
        <f>IF(NOT(ISNUMBER(D108)),C108,"")</f>
        <v>489.5</v>
      </c>
      <c r="F108" s="5">
        <v>489.5</v>
      </c>
    </row>
    <row r="109" spans="1:6" x14ac:dyDescent="0.3">
      <c r="A109" s="5" t="s">
        <v>106</v>
      </c>
      <c r="B109" s="5">
        <v>515</v>
      </c>
      <c r="C109" s="6">
        <v>515</v>
      </c>
      <c r="D109" s="6"/>
      <c r="E109" s="6">
        <f>IF(NOT(ISNUMBER(D109)),C109,"")</f>
        <v>515</v>
      </c>
      <c r="F109" s="5">
        <v>515</v>
      </c>
    </row>
    <row r="110" spans="1:6" x14ac:dyDescent="0.3">
      <c r="A110" s="5" t="s">
        <v>107</v>
      </c>
      <c r="B110" s="5">
        <v>473</v>
      </c>
      <c r="C110" s="6">
        <v>473</v>
      </c>
      <c r="D110" s="6"/>
      <c r="E110" s="6">
        <f>IF(NOT(ISNUMBER(D110)),C110,"")</f>
        <v>473</v>
      </c>
      <c r="F110" s="5">
        <v>473</v>
      </c>
    </row>
    <row r="111" spans="1:6" x14ac:dyDescent="0.3">
      <c r="A111" s="5" t="s">
        <v>108</v>
      </c>
      <c r="B111" s="5">
        <v>476.5</v>
      </c>
      <c r="C111" s="6">
        <v>476.5</v>
      </c>
      <c r="D111" s="6"/>
      <c r="E111" s="6">
        <f>IF(NOT(ISNUMBER(D111)),C111,"")</f>
        <v>476.5</v>
      </c>
      <c r="F111" s="5">
        <v>476.5</v>
      </c>
    </row>
    <row r="112" spans="1:6" x14ac:dyDescent="0.3">
      <c r="A112" s="7" t="s">
        <v>109</v>
      </c>
      <c r="B112" s="7" t="s">
        <v>140</v>
      </c>
      <c r="C112" s="7" t="s">
        <v>140</v>
      </c>
      <c r="D112" s="7">
        <f>(C114-C111)/3</f>
        <v>-10.833333333333334</v>
      </c>
      <c r="E112" s="7">
        <f>C111+D112</f>
        <v>465.66666666666669</v>
      </c>
      <c r="F112" s="5">
        <v>465.66666666666669</v>
      </c>
    </row>
    <row r="113" spans="1:6" x14ac:dyDescent="0.3">
      <c r="A113" s="7" t="s">
        <v>110</v>
      </c>
      <c r="B113" s="7" t="s">
        <v>140</v>
      </c>
      <c r="C113" s="7" t="s">
        <v>140</v>
      </c>
      <c r="D113" s="7">
        <f>(C114-C111)*2/3</f>
        <v>-21.666666666666668</v>
      </c>
      <c r="E113" s="7">
        <f>C111+D113</f>
        <v>454.83333333333331</v>
      </c>
      <c r="F113" s="5">
        <v>454.83333333333331</v>
      </c>
    </row>
    <row r="114" spans="1:6" x14ac:dyDescent="0.3">
      <c r="A114" s="5" t="s">
        <v>111</v>
      </c>
      <c r="B114" s="5">
        <v>444</v>
      </c>
      <c r="C114" s="6">
        <v>444</v>
      </c>
      <c r="D114" s="6"/>
      <c r="E114" s="6">
        <f>IF(NOT(ISNUMBER(D114)),C114,"")</f>
        <v>444</v>
      </c>
      <c r="F114" s="5">
        <v>444</v>
      </c>
    </row>
    <row r="115" spans="1:6" x14ac:dyDescent="0.3">
      <c r="A115" s="7" t="s">
        <v>112</v>
      </c>
      <c r="B115" s="7" t="s">
        <v>140</v>
      </c>
      <c r="C115" s="7" t="s">
        <v>140</v>
      </c>
      <c r="D115" s="7">
        <f>(C117-C114)/3</f>
        <v>35.333333333333336</v>
      </c>
      <c r="E115" s="7">
        <f>C114+D115</f>
        <v>479.33333333333331</v>
      </c>
      <c r="F115" s="5">
        <v>479.33333333333331</v>
      </c>
    </row>
    <row r="116" spans="1:6" x14ac:dyDescent="0.3">
      <c r="A116" s="7" t="s">
        <v>113</v>
      </c>
      <c r="B116" s="7" t="s">
        <v>140</v>
      </c>
      <c r="C116" s="7" t="s">
        <v>140</v>
      </c>
      <c r="D116" s="7">
        <f>(C117-C114)*2/3</f>
        <v>70.666666666666671</v>
      </c>
      <c r="E116" s="7">
        <f>C114+D116</f>
        <v>514.66666666666663</v>
      </c>
      <c r="F116" s="5">
        <v>514.66666666666663</v>
      </c>
    </row>
    <row r="117" spans="1:6" x14ac:dyDescent="0.3">
      <c r="A117" s="5" t="s">
        <v>114</v>
      </c>
      <c r="B117" s="5">
        <v>550</v>
      </c>
      <c r="C117" s="6">
        <v>550</v>
      </c>
      <c r="D117" s="6"/>
      <c r="E117" s="6">
        <f>IF(NOT(ISNUMBER(D117)),C117,"")</f>
        <v>550</v>
      </c>
      <c r="F117" s="5">
        <v>550</v>
      </c>
    </row>
    <row r="118" spans="1:6" x14ac:dyDescent="0.3">
      <c r="A118" s="5" t="s">
        <v>115</v>
      </c>
      <c r="B118" s="5">
        <v>500</v>
      </c>
      <c r="C118" s="6">
        <v>500</v>
      </c>
      <c r="D118" s="6"/>
      <c r="E118" s="6">
        <f>IF(NOT(ISNUMBER(D118)),C118,"")</f>
        <v>500</v>
      </c>
      <c r="F118" s="5">
        <v>500</v>
      </c>
    </row>
    <row r="119" spans="1:6" x14ac:dyDescent="0.3">
      <c r="A119" s="5" t="s">
        <v>116</v>
      </c>
      <c r="B119" s="5">
        <v>545</v>
      </c>
      <c r="C119" s="6">
        <v>545</v>
      </c>
      <c r="D119" s="6"/>
      <c r="E119" s="6">
        <f>IF(NOT(ISNUMBER(D119)),C119,"")</f>
        <v>545</v>
      </c>
      <c r="F119" s="5">
        <v>545</v>
      </c>
    </row>
    <row r="120" spans="1:6" x14ac:dyDescent="0.3">
      <c r="A120" s="7" t="s">
        <v>117</v>
      </c>
      <c r="B120" s="7" t="s">
        <v>140</v>
      </c>
      <c r="C120" s="7" t="s">
        <v>140</v>
      </c>
      <c r="D120" s="7">
        <f>($C$123-$C$119)/4</f>
        <v>20</v>
      </c>
      <c r="E120" s="7">
        <f>$C$119+D120</f>
        <v>565</v>
      </c>
      <c r="F120" s="5">
        <v>565</v>
      </c>
    </row>
    <row r="121" spans="1:6" x14ac:dyDescent="0.3">
      <c r="A121" s="7" t="s">
        <v>118</v>
      </c>
      <c r="B121" s="7" t="s">
        <v>140</v>
      </c>
      <c r="C121" s="7" t="s">
        <v>140</v>
      </c>
      <c r="D121" s="7">
        <f>($C$123-$C$119)*2/4</f>
        <v>40</v>
      </c>
      <c r="E121" s="7">
        <f t="shared" ref="E121:E122" si="4">$C$119+D121</f>
        <v>585</v>
      </c>
      <c r="F121" s="5">
        <v>585</v>
      </c>
    </row>
    <row r="122" spans="1:6" x14ac:dyDescent="0.3">
      <c r="A122" s="7" t="s">
        <v>119</v>
      </c>
      <c r="B122" s="7" t="s">
        <v>140</v>
      </c>
      <c r="C122" s="7" t="s">
        <v>140</v>
      </c>
      <c r="D122" s="7">
        <f>($C$123-$C$119)*3/4</f>
        <v>60</v>
      </c>
      <c r="E122" s="7">
        <f t="shared" si="4"/>
        <v>605</v>
      </c>
      <c r="F122" s="5">
        <v>605</v>
      </c>
    </row>
    <row r="123" spans="1:6" x14ac:dyDescent="0.3">
      <c r="A123" s="5" t="s">
        <v>120</v>
      </c>
      <c r="B123" s="5">
        <v>625</v>
      </c>
      <c r="C123" s="6">
        <v>625</v>
      </c>
      <c r="D123" s="6"/>
      <c r="E123" s="6">
        <f>IF(NOT(ISNUMBER(D123)),C123,"")</f>
        <v>625</v>
      </c>
      <c r="F123" s="5">
        <v>625</v>
      </c>
    </row>
    <row r="124" spans="1:6" x14ac:dyDescent="0.3">
      <c r="A124" s="5" t="s">
        <v>121</v>
      </c>
      <c r="B124" s="5">
        <v>633.33333333333337</v>
      </c>
      <c r="C124" s="6">
        <v>633.33333333333337</v>
      </c>
      <c r="D124" s="6"/>
      <c r="E124" s="6">
        <f>IF(NOT(ISNUMBER(D124)),C124,"")</f>
        <v>633.33333333333337</v>
      </c>
      <c r="F124" s="5">
        <v>633.33333333333337</v>
      </c>
    </row>
    <row r="125" spans="1:6" x14ac:dyDescent="0.3">
      <c r="A125" s="7" t="s">
        <v>122</v>
      </c>
      <c r="B125" s="7" t="s">
        <v>140</v>
      </c>
      <c r="C125" s="7" t="s">
        <v>140</v>
      </c>
      <c r="D125" s="7">
        <f>(C126-C124)/2</f>
        <v>-4.1666666666666856</v>
      </c>
      <c r="E125" s="7">
        <f>C124+D125</f>
        <v>629.16666666666674</v>
      </c>
      <c r="F125" s="5">
        <v>629.16666666666674</v>
      </c>
    </row>
    <row r="126" spans="1:6" x14ac:dyDescent="0.3">
      <c r="A126" s="5" t="s">
        <v>123</v>
      </c>
      <c r="B126" s="5">
        <v>625</v>
      </c>
      <c r="C126" s="6">
        <v>625</v>
      </c>
      <c r="D126" s="6"/>
      <c r="E126" s="6">
        <f>IF(NOT(ISNUMBER(D126)),C126,"")</f>
        <v>625</v>
      </c>
      <c r="F126" s="5">
        <v>625</v>
      </c>
    </row>
    <row r="127" spans="1:6" x14ac:dyDescent="0.3">
      <c r="A127" s="7" t="s">
        <v>124</v>
      </c>
      <c r="B127" s="7" t="s">
        <v>139</v>
      </c>
      <c r="C127" s="7" t="s">
        <v>139</v>
      </c>
      <c r="D127" s="7">
        <f>(C129-C126)/3</f>
        <v>8.3333333333333339</v>
      </c>
      <c r="E127" s="7">
        <f>$C$126+D127</f>
        <v>633.33333333333337</v>
      </c>
      <c r="F127" s="5">
        <v>633.33333333333337</v>
      </c>
    </row>
    <row r="128" spans="1:6" x14ac:dyDescent="0.3">
      <c r="A128" s="7" t="s">
        <v>125</v>
      </c>
      <c r="B128" s="7" t="s">
        <v>139</v>
      </c>
      <c r="C128" s="7" t="s">
        <v>139</v>
      </c>
      <c r="D128" s="7">
        <f>(C129-C126)*2/3</f>
        <v>16.666666666666668</v>
      </c>
      <c r="E128" s="7">
        <f>$C$126+D128</f>
        <v>641.66666666666663</v>
      </c>
      <c r="F128" s="5">
        <v>641.66666666666663</v>
      </c>
    </row>
    <row r="129" spans="1:6" x14ac:dyDescent="0.3">
      <c r="A129" s="5" t="s">
        <v>126</v>
      </c>
      <c r="B129" s="5">
        <v>650</v>
      </c>
      <c r="C129" s="6">
        <v>650</v>
      </c>
      <c r="D129" s="6"/>
      <c r="E129" s="6">
        <f>IF(NOT(ISNUMBER(D129)),C129,"")</f>
        <v>650</v>
      </c>
      <c r="F129" s="5">
        <v>650</v>
      </c>
    </row>
    <row r="130" spans="1:6" x14ac:dyDescent="0.3">
      <c r="A130" s="7" t="s">
        <v>127</v>
      </c>
      <c r="B130" s="7" t="s">
        <v>140</v>
      </c>
      <c r="C130" s="7" t="s">
        <v>140</v>
      </c>
      <c r="D130" s="7">
        <f>(C131-C129)/2</f>
        <v>35</v>
      </c>
      <c r="E130" s="7">
        <f>C129+D130</f>
        <v>685</v>
      </c>
      <c r="F130" s="5">
        <v>685</v>
      </c>
    </row>
    <row r="131" spans="1:6" x14ac:dyDescent="0.3">
      <c r="A131" s="5" t="s">
        <v>128</v>
      </c>
      <c r="B131" s="5">
        <v>720</v>
      </c>
      <c r="C131" s="6">
        <v>720</v>
      </c>
      <c r="D131" s="6"/>
      <c r="E131" s="6">
        <f>IF(NOT(ISNUMBER(D131)),C131,"")</f>
        <v>720</v>
      </c>
      <c r="F131" s="5">
        <v>720</v>
      </c>
    </row>
    <row r="132" spans="1:6" x14ac:dyDescent="0.3">
      <c r="A132" s="7" t="s">
        <v>129</v>
      </c>
      <c r="B132" s="7" t="s">
        <v>140</v>
      </c>
      <c r="C132" s="7" t="s">
        <v>140</v>
      </c>
      <c r="D132" s="7">
        <f>($C$135-$C$131)/4</f>
        <v>-11.25</v>
      </c>
      <c r="E132" s="7">
        <f>$C$131+D132</f>
        <v>708.75</v>
      </c>
      <c r="F132" s="5">
        <v>708.75</v>
      </c>
    </row>
    <row r="133" spans="1:6" x14ac:dyDescent="0.3">
      <c r="A133" s="7" t="s">
        <v>130</v>
      </c>
      <c r="B133" s="7" t="s">
        <v>140</v>
      </c>
      <c r="C133" s="7" t="s">
        <v>140</v>
      </c>
      <c r="D133" s="7">
        <f>($C$135-$C$131)*2/4</f>
        <v>-22.5</v>
      </c>
      <c r="E133" s="7">
        <f t="shared" ref="E133:E134" si="5">$C$131+D133</f>
        <v>697.5</v>
      </c>
      <c r="F133" s="5">
        <v>697.5</v>
      </c>
    </row>
    <row r="134" spans="1:6" x14ac:dyDescent="0.3">
      <c r="A134" s="7" t="s">
        <v>131</v>
      </c>
      <c r="B134" s="7" t="s">
        <v>140</v>
      </c>
      <c r="C134" s="7" t="s">
        <v>140</v>
      </c>
      <c r="D134" s="7">
        <f>($C$135-$C$131)*3/4</f>
        <v>-33.75</v>
      </c>
      <c r="E134" s="7">
        <f>$C$131+D134</f>
        <v>686.25</v>
      </c>
      <c r="F134" s="5">
        <v>686.25</v>
      </c>
    </row>
    <row r="135" spans="1:6" x14ac:dyDescent="0.3">
      <c r="A135" s="5" t="s">
        <v>132</v>
      </c>
      <c r="B135" s="5">
        <v>675</v>
      </c>
      <c r="C135" s="6">
        <v>675</v>
      </c>
      <c r="D135" s="6"/>
      <c r="E135" s="6">
        <f>IF(NOT(ISNUMBER(D135)),C135,"")</f>
        <v>675</v>
      </c>
      <c r="F135" s="5">
        <v>675</v>
      </c>
    </row>
    <row r="136" spans="1:6" x14ac:dyDescent="0.3">
      <c r="A136" s="7" t="s">
        <v>133</v>
      </c>
      <c r="B136" s="7" t="s">
        <v>140</v>
      </c>
      <c r="C136" s="7" t="s">
        <v>140</v>
      </c>
      <c r="D136" s="7">
        <f>(C138-C135)/3</f>
        <v>-13.333333333333334</v>
      </c>
      <c r="E136" s="7">
        <f>$C$135+D136</f>
        <v>661.66666666666663</v>
      </c>
      <c r="F136" s="5">
        <v>661.66666666666663</v>
      </c>
    </row>
    <row r="137" spans="1:6" x14ac:dyDescent="0.3">
      <c r="A137" s="7" t="s">
        <v>134</v>
      </c>
      <c r="B137" s="7" t="s">
        <v>140</v>
      </c>
      <c r="C137" s="7" t="s">
        <v>140</v>
      </c>
      <c r="D137" s="7">
        <f>(C138-C135)*2/3</f>
        <v>-26.666666666666668</v>
      </c>
      <c r="E137" s="7">
        <f>$C$135+D137</f>
        <v>648.33333333333337</v>
      </c>
      <c r="F137" s="5">
        <v>648.33333333333337</v>
      </c>
    </row>
    <row r="138" spans="1:6" x14ac:dyDescent="0.3">
      <c r="A138" s="5" t="s">
        <v>135</v>
      </c>
      <c r="B138" s="5">
        <v>635</v>
      </c>
      <c r="C138" s="6">
        <v>635</v>
      </c>
      <c r="D138" s="6"/>
      <c r="E138" s="6">
        <f>IF(NOT(ISNUMBER(D138)),C138,"")</f>
        <v>635</v>
      </c>
      <c r="F138" s="5">
        <v>635</v>
      </c>
    </row>
    <row r="139" spans="1:6" x14ac:dyDescent="0.3">
      <c r="A139" s="7" t="s">
        <v>136</v>
      </c>
      <c r="B139" s="7" t="s">
        <v>140</v>
      </c>
      <c r="C139" s="7" t="s">
        <v>140</v>
      </c>
      <c r="D139" s="7">
        <f>(C142-C138)/4</f>
        <v>16.25</v>
      </c>
      <c r="E139" s="7">
        <f>$C$138+D139</f>
        <v>651.25</v>
      </c>
      <c r="F139" s="5">
        <v>651.25</v>
      </c>
    </row>
    <row r="140" spans="1:6" x14ac:dyDescent="0.3">
      <c r="A140" s="7" t="s">
        <v>137</v>
      </c>
      <c r="B140" s="7" t="s">
        <v>140</v>
      </c>
      <c r="C140" s="7" t="s">
        <v>140</v>
      </c>
      <c r="D140" s="7">
        <f>(C142-C138)*2/4</f>
        <v>32.5</v>
      </c>
      <c r="E140" s="7">
        <f t="shared" ref="E140:E141" si="6">$C$138+D140</f>
        <v>667.5</v>
      </c>
      <c r="F140" s="5">
        <v>667.5</v>
      </c>
    </row>
    <row r="141" spans="1:6" x14ac:dyDescent="0.3">
      <c r="A141" s="7" t="s">
        <v>138</v>
      </c>
      <c r="B141" s="7" t="s">
        <v>140</v>
      </c>
      <c r="C141" s="7" t="s">
        <v>140</v>
      </c>
      <c r="D141" s="7">
        <f>(C142-C138)*3/4</f>
        <v>48.75</v>
      </c>
      <c r="E141" s="7">
        <f>$C$138+D141</f>
        <v>683.75</v>
      </c>
      <c r="F141" s="5">
        <v>683.75</v>
      </c>
    </row>
    <row r="142" spans="1:6" ht="15.6" x14ac:dyDescent="0.3">
      <c r="A142" s="17" t="s">
        <v>169</v>
      </c>
      <c r="B142" s="5">
        <v>700</v>
      </c>
      <c r="C142" s="5">
        <v>700</v>
      </c>
      <c r="D142" s="19"/>
      <c r="E142" s="19">
        <f>IF(NOT(ISNUMBER(D142)),C142,"")</f>
        <v>700</v>
      </c>
      <c r="F142" s="4">
        <v>700</v>
      </c>
    </row>
    <row r="143" spans="1:6" ht="15.6" x14ac:dyDescent="0.3">
      <c r="A143" s="17" t="s">
        <v>170</v>
      </c>
      <c r="B143" s="7" t="s">
        <v>140</v>
      </c>
      <c r="C143" s="7" t="s">
        <v>140</v>
      </c>
      <c r="D143" s="7">
        <f>(C144-C142)/2</f>
        <v>72.5</v>
      </c>
      <c r="E143" s="7">
        <f>C142+D143</f>
        <v>772.5</v>
      </c>
      <c r="F143" s="4">
        <v>772.5</v>
      </c>
    </row>
    <row r="144" spans="1:6" ht="15.6" x14ac:dyDescent="0.3">
      <c r="A144" s="17" t="s">
        <v>171</v>
      </c>
      <c r="B144" s="5">
        <v>845</v>
      </c>
      <c r="C144" s="5">
        <v>845</v>
      </c>
      <c r="D144" s="19"/>
      <c r="E144" s="19">
        <f>IF(NOT(ISNUMBER(D144)),C144,"")</f>
        <v>845</v>
      </c>
      <c r="F144" s="4">
        <v>845</v>
      </c>
    </row>
    <row r="145" spans="1:6" ht="15.6" x14ac:dyDescent="0.3">
      <c r="A145" s="17" t="s">
        <v>172</v>
      </c>
      <c r="B145" s="7" t="s">
        <v>140</v>
      </c>
      <c r="C145" s="9">
        <v>845</v>
      </c>
      <c r="D145" s="19"/>
      <c r="E145" s="19">
        <f t="shared" ref="E145:E146" si="7">IF(NOT(ISNUMBER(D145)),C145,"")</f>
        <v>845</v>
      </c>
      <c r="F145" s="4">
        <v>845</v>
      </c>
    </row>
    <row r="146" spans="1:6" x14ac:dyDescent="0.3">
      <c r="A146" s="18" t="s">
        <v>173</v>
      </c>
      <c r="B146" s="7" t="s">
        <v>140</v>
      </c>
      <c r="C146" s="9">
        <v>845</v>
      </c>
      <c r="D146" s="19"/>
      <c r="E146" s="19">
        <f t="shared" si="7"/>
        <v>845</v>
      </c>
      <c r="F146" s="4">
        <v>845</v>
      </c>
    </row>
  </sheetData>
  <mergeCells count="1">
    <mergeCell ref="A1:F1"/>
  </mergeCells>
  <conditionalFormatting sqref="D2 C147:C1048576 C2:C141">
    <cfRule type="cellIs" dxfId="3" priority="3" operator="equal">
      <formula>"unq"</formula>
    </cfRule>
  </conditionalFormatting>
  <conditionalFormatting sqref="C145:C146">
    <cfRule type="cellIs" dxfId="2" priority="2" operator="equal">
      <formula>"unq"</formula>
    </cfRule>
  </conditionalFormatting>
  <conditionalFormatting sqref="C143">
    <cfRule type="cellIs" dxfId="0" priority="1" operator="equal">
      <formula>"unq"</formula>
    </cfRule>
  </conditionalFormatting>
  <pageMargins left="0.7" right="0.7" top="0.75" bottom="0.75" header="0.3" footer="0.3"/>
  <pageSetup orientation="portrait" r:id="rId1"/>
  <ignoredErrors>
    <ignoredError sqref="E19 E25:E26 E27 E47 E55 E61 E65:E66 E67 E83 E72 E93 E97 E100 E103:E106 E107 E125 E130 E14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8709-08EF-4114-9C27-42464083C4B1}">
  <dimension ref="A1:P145"/>
  <sheetViews>
    <sheetView workbookViewId="0">
      <selection activeCell="L11" sqref="L11"/>
    </sheetView>
  </sheetViews>
  <sheetFormatPr defaultRowHeight="14.4" x14ac:dyDescent="0.3"/>
  <cols>
    <col min="2" max="3" width="17.109375" customWidth="1"/>
    <col min="4" max="4" width="15.6640625" bestFit="1" customWidth="1"/>
    <col min="5" max="5" width="13.5546875" bestFit="1" customWidth="1"/>
    <col min="7" max="7" width="17.5546875" customWidth="1"/>
    <col min="8" max="8" width="12" bestFit="1" customWidth="1"/>
    <col min="9" max="9" width="13.6640625" bestFit="1" customWidth="1"/>
    <col min="11" max="11" width="17.33203125" bestFit="1" customWidth="1"/>
    <col min="12" max="12" width="12" bestFit="1" customWidth="1"/>
    <col min="13" max="13" width="13.6640625" bestFit="1" customWidth="1"/>
    <col min="15" max="15" width="37.88671875" bestFit="1" customWidth="1"/>
    <col min="16" max="16" width="17.33203125" bestFit="1" customWidth="1"/>
    <col min="17" max="17" width="12" bestFit="1" customWidth="1"/>
    <col min="18" max="18" width="13.6640625" bestFit="1" customWidth="1"/>
  </cols>
  <sheetData>
    <row r="1" spans="1:16" x14ac:dyDescent="0.3">
      <c r="A1" s="3" t="s">
        <v>0</v>
      </c>
      <c r="B1" s="3" t="s">
        <v>149</v>
      </c>
      <c r="C1" s="3" t="s">
        <v>157</v>
      </c>
      <c r="D1" s="3" t="s">
        <v>150</v>
      </c>
      <c r="E1" s="3" t="s">
        <v>158</v>
      </c>
      <c r="G1" s="11"/>
      <c r="H1" s="12" t="s">
        <v>162</v>
      </c>
      <c r="I1" s="12" t="s">
        <v>163</v>
      </c>
      <c r="L1" s="12" t="s">
        <v>164</v>
      </c>
      <c r="M1" s="12" t="s">
        <v>165</v>
      </c>
    </row>
    <row r="2" spans="1:16" x14ac:dyDescent="0.3">
      <c r="A2" s="6" t="s">
        <v>1</v>
      </c>
      <c r="B2" s="4">
        <v>321.33999999999997</v>
      </c>
      <c r="C2" s="4"/>
      <c r="D2" s="5">
        <v>275.05</v>
      </c>
      <c r="E2" s="4"/>
      <c r="G2" s="11" t="s">
        <v>151</v>
      </c>
      <c r="H2" s="5">
        <f>COUNTA(B2:B145)</f>
        <v>144</v>
      </c>
      <c r="I2" s="4">
        <f>COUNTA(C2:C145)</f>
        <v>143</v>
      </c>
      <c r="K2" s="11" t="s">
        <v>151</v>
      </c>
      <c r="L2" s="5">
        <v>139</v>
      </c>
      <c r="M2" s="4">
        <f>COUNTA(E2:E145)</f>
        <v>143</v>
      </c>
      <c r="O2" t="s">
        <v>166</v>
      </c>
      <c r="P2">
        <f>CORREL(B2:B145,D2:D145)</f>
        <v>0.98724528235771614</v>
      </c>
    </row>
    <row r="3" spans="1:16" x14ac:dyDescent="0.3">
      <c r="A3" s="6" t="s">
        <v>2</v>
      </c>
      <c r="B3" s="4">
        <v>294.69</v>
      </c>
      <c r="C3" s="4">
        <f>LN(B3/B2)</f>
        <v>-8.6575796260301055E-2</v>
      </c>
      <c r="D3" s="5">
        <v>278.12</v>
      </c>
      <c r="E3" s="4">
        <f>LN(D3/D2)</f>
        <v>1.1099775909349909E-2</v>
      </c>
      <c r="G3" s="11" t="s">
        <v>152</v>
      </c>
      <c r="H3" s="5">
        <f>AVERAGE(B2:B140)</f>
        <v>411.45154676258994</v>
      </c>
      <c r="I3" s="5">
        <f>AVERAGE(C2:C145)</f>
        <v>5.4446194575399759E-3</v>
      </c>
      <c r="K3" s="11" t="s">
        <v>152</v>
      </c>
      <c r="L3" s="5">
        <f>AVERAGE(D2:D140)</f>
        <v>385.52557553956837</v>
      </c>
      <c r="M3" s="5">
        <f>AVERAGE(E2:E145)</f>
        <v>7.8488372589909563E-3</v>
      </c>
      <c r="O3" t="s">
        <v>167</v>
      </c>
      <c r="P3">
        <f>CORREL(C3:C145,E3:E145)</f>
        <v>0.70213694527141701</v>
      </c>
    </row>
    <row r="4" spans="1:16" x14ac:dyDescent="0.3">
      <c r="A4" s="6" t="s">
        <v>3</v>
      </c>
      <c r="B4" s="4">
        <v>301.5</v>
      </c>
      <c r="C4" s="4">
        <f>LN(B4/B3)</f>
        <v>2.2846059812352236E-2</v>
      </c>
      <c r="D4" s="5">
        <v>286.38</v>
      </c>
      <c r="E4" s="4">
        <f t="shared" ref="E4:E67" si="0">LN(D4/D3)</f>
        <v>2.926692501504316E-2</v>
      </c>
      <c r="G4" s="11" t="s">
        <v>153</v>
      </c>
      <c r="H4" s="5">
        <f>MEDIAN(B2:B140)</f>
        <v>325.33999999999997</v>
      </c>
      <c r="I4" s="5">
        <f>MEDIAN(C2:C145)</f>
        <v>6.2974510540612762E-3</v>
      </c>
      <c r="K4" s="11" t="s">
        <v>153</v>
      </c>
      <c r="L4" s="5">
        <f>MEDIAN(D2:D140)</f>
        <v>315</v>
      </c>
      <c r="M4" s="5">
        <f>MEDIAN(E2:E145)</f>
        <v>7.3723346023238084E-3</v>
      </c>
    </row>
    <row r="5" spans="1:16" x14ac:dyDescent="0.3">
      <c r="A5" s="6" t="s">
        <v>4</v>
      </c>
      <c r="B5" s="4">
        <v>281.27999999999997</v>
      </c>
      <c r="C5" s="4">
        <f t="shared" ref="C5:C67" si="1">LN(B5/B4)</f>
        <v>-6.9419401670428052E-2</v>
      </c>
      <c r="D5" s="5">
        <v>281.14</v>
      </c>
      <c r="E5" s="4">
        <f t="shared" si="0"/>
        <v>-1.8466834342240342E-2</v>
      </c>
      <c r="G5" s="11" t="s">
        <v>154</v>
      </c>
      <c r="H5" s="5">
        <f>MIN(B2:B140)</f>
        <v>194</v>
      </c>
      <c r="I5" s="5">
        <f>MIN(C2:C145)</f>
        <v>-0.29266961396281993</v>
      </c>
      <c r="K5" s="11" t="s">
        <v>154</v>
      </c>
      <c r="L5" s="5">
        <f>MIN(D2:D140)</f>
        <v>186</v>
      </c>
      <c r="M5" s="5">
        <f>MIN(E2:E145)</f>
        <v>-0.18041860664786846</v>
      </c>
      <c r="O5" t="s">
        <v>168</v>
      </c>
    </row>
    <row r="6" spans="1:16" x14ac:dyDescent="0.3">
      <c r="A6" s="6" t="s">
        <v>5</v>
      </c>
      <c r="B6" s="4">
        <v>289.54000000000002</v>
      </c>
      <c r="C6" s="4">
        <f t="shared" si="1"/>
        <v>2.8942842229085483E-2</v>
      </c>
      <c r="D6" s="5">
        <v>279.5</v>
      </c>
      <c r="E6" s="4">
        <f t="shared" si="0"/>
        <v>-5.8504733084658919E-3</v>
      </c>
      <c r="G6" s="11" t="s">
        <v>155</v>
      </c>
      <c r="H6" s="5">
        <f>MAX(B2:B140)</f>
        <v>810.5</v>
      </c>
      <c r="I6" s="5">
        <f>MAX(C2:C145)</f>
        <v>0.35667494393873239</v>
      </c>
      <c r="K6" s="11" t="s">
        <v>155</v>
      </c>
      <c r="L6" s="5">
        <f>MAX(D2:D140)</f>
        <v>743</v>
      </c>
      <c r="M6" s="5">
        <f>MAX(E2:E145)</f>
        <v>0.22354108660070138</v>
      </c>
      <c r="O6" s="14" t="s">
        <v>145</v>
      </c>
      <c r="P6">
        <f>I7</f>
        <v>8.1403967111628658E-2</v>
      </c>
    </row>
    <row r="7" spans="1:16" x14ac:dyDescent="0.3">
      <c r="A7" s="6" t="s">
        <v>6</v>
      </c>
      <c r="B7" s="4">
        <v>313.47000000000003</v>
      </c>
      <c r="C7" s="4">
        <f t="shared" si="1"/>
        <v>7.9410204988231703E-2</v>
      </c>
      <c r="D7" s="5">
        <v>290.25</v>
      </c>
      <c r="E7" s="4">
        <f t="shared" si="0"/>
        <v>3.7740327982847113E-2</v>
      </c>
      <c r="G7" s="11" t="s">
        <v>156</v>
      </c>
      <c r="H7" s="5">
        <f>_xlfn.STDEV.S(B2:B140)</f>
        <v>175.12075499442201</v>
      </c>
      <c r="I7" s="5">
        <f>_xlfn.STDEV.S(C2:C145)</f>
        <v>8.1403967111628658E-2</v>
      </c>
      <c r="K7" s="11" t="s">
        <v>156</v>
      </c>
      <c r="L7" s="5">
        <f>_xlfn.STDEV.S(D2:D140)</f>
        <v>160.02840221311894</v>
      </c>
      <c r="M7" s="5">
        <f>_xlfn.STDEV.S(E2:E145)</f>
        <v>6.5922053460883714E-2</v>
      </c>
      <c r="O7" s="14" t="s">
        <v>159</v>
      </c>
      <c r="P7">
        <f>M7</f>
        <v>6.5922053460883714E-2</v>
      </c>
    </row>
    <row r="8" spans="1:16" x14ac:dyDescent="0.3">
      <c r="A8" s="6" t="s">
        <v>7</v>
      </c>
      <c r="B8" s="4">
        <v>289.86</v>
      </c>
      <c r="C8" s="4">
        <f t="shared" si="1"/>
        <v>-7.8305613919758973E-2</v>
      </c>
      <c r="D8" s="5">
        <v>268.33</v>
      </c>
      <c r="E8" s="4">
        <f t="shared" si="0"/>
        <v>-7.8525054264953834E-2</v>
      </c>
      <c r="G8" s="13" t="s">
        <v>160</v>
      </c>
      <c r="H8" s="4">
        <f>SKEW(B2:B140)</f>
        <v>0.85200230340454564</v>
      </c>
      <c r="I8" s="4">
        <f>SKEW(C2:C145)</f>
        <v>0.11281486105416093</v>
      </c>
      <c r="K8" s="13" t="s">
        <v>160</v>
      </c>
      <c r="L8" s="4">
        <f>SKEW(D2:D140)</f>
        <v>0.76899351226278712</v>
      </c>
      <c r="M8" s="4">
        <f>SKEW(E2:E145)</f>
        <v>4.8773593066768768E-2</v>
      </c>
    </row>
    <row r="9" spans="1:16" x14ac:dyDescent="0.3">
      <c r="A9" s="6" t="s">
        <v>8</v>
      </c>
      <c r="B9" s="4">
        <v>263.52</v>
      </c>
      <c r="C9" s="4">
        <f t="shared" si="1"/>
        <v>-9.5268781365040231E-2</v>
      </c>
      <c r="D9" s="5">
        <v>257</v>
      </c>
      <c r="E9" s="4">
        <f t="shared" si="0"/>
        <v>-4.314148141782724E-2</v>
      </c>
      <c r="G9" s="13" t="s">
        <v>161</v>
      </c>
      <c r="H9" s="4">
        <f>KURT(B2:B140)</f>
        <v>-0.63572094711747873</v>
      </c>
      <c r="I9" s="4">
        <f>KURT(C2:C145)</f>
        <v>2.7965259733831083</v>
      </c>
      <c r="K9" s="13" t="s">
        <v>161</v>
      </c>
      <c r="L9" s="4">
        <f>KURT(D2:D140)</f>
        <v>-0.81244661113048666</v>
      </c>
      <c r="M9" s="4">
        <f>KURT(E2:E145)</f>
        <v>1.2490428821228399</v>
      </c>
    </row>
    <row r="10" spans="1:16" x14ac:dyDescent="0.3">
      <c r="A10" s="6" t="s">
        <v>9</v>
      </c>
      <c r="B10" s="4">
        <v>261.08</v>
      </c>
      <c r="C10" s="4">
        <f t="shared" si="1"/>
        <v>-9.3023926623135612E-3</v>
      </c>
      <c r="D10" s="5">
        <v>240.5</v>
      </c>
      <c r="E10" s="4">
        <f t="shared" si="0"/>
        <v>-6.6355995349403923E-2</v>
      </c>
    </row>
    <row r="11" spans="1:16" x14ac:dyDescent="0.3">
      <c r="A11" s="6" t="s">
        <v>10</v>
      </c>
      <c r="B11" s="4">
        <v>286.8</v>
      </c>
      <c r="C11" s="4">
        <f t="shared" si="1"/>
        <v>9.3958234958448683E-2</v>
      </c>
      <c r="D11" s="5">
        <v>265.75</v>
      </c>
      <c r="E11" s="4">
        <f t="shared" si="0"/>
        <v>9.9835927676241526E-2</v>
      </c>
    </row>
    <row r="12" spans="1:16" x14ac:dyDescent="0.3">
      <c r="A12" s="6" t="s">
        <v>11</v>
      </c>
      <c r="B12" s="4">
        <v>263.20999999999998</v>
      </c>
      <c r="C12" s="4">
        <f t="shared" si="1"/>
        <v>-8.5832916075081367E-2</v>
      </c>
      <c r="D12" s="5">
        <v>252</v>
      </c>
      <c r="E12" s="4">
        <f t="shared" si="0"/>
        <v>-5.3126929710634062E-2</v>
      </c>
    </row>
    <row r="13" spans="1:16" x14ac:dyDescent="0.3">
      <c r="A13" s="6" t="s">
        <v>12</v>
      </c>
      <c r="B13" s="4">
        <v>262.83</v>
      </c>
      <c r="C13" s="4">
        <f t="shared" si="1"/>
        <v>-1.4447573040018509E-3</v>
      </c>
      <c r="D13" s="5">
        <v>248</v>
      </c>
      <c r="E13" s="4">
        <f t="shared" si="0"/>
        <v>-1.6000341346441189E-2</v>
      </c>
    </row>
    <row r="14" spans="1:16" x14ac:dyDescent="0.3">
      <c r="A14" s="6" t="s">
        <v>13</v>
      </c>
      <c r="B14" s="4">
        <v>304.83</v>
      </c>
      <c r="C14" s="4">
        <f t="shared" si="1"/>
        <v>0.14824680881951757</v>
      </c>
      <c r="D14" s="5">
        <v>302.5</v>
      </c>
      <c r="E14" s="4">
        <f t="shared" si="0"/>
        <v>0.19865253130591395</v>
      </c>
    </row>
    <row r="15" spans="1:16" x14ac:dyDescent="0.3">
      <c r="A15" s="6" t="s">
        <v>14</v>
      </c>
      <c r="B15" s="4">
        <v>275.75</v>
      </c>
      <c r="C15" s="4">
        <f t="shared" si="1"/>
        <v>-0.10025958603228777</v>
      </c>
      <c r="D15" s="5">
        <v>266</v>
      </c>
      <c r="E15" s="4">
        <f t="shared" si="0"/>
        <v>-0.12858496868919711</v>
      </c>
    </row>
    <row r="16" spans="1:16" x14ac:dyDescent="0.3">
      <c r="A16" s="6" t="s">
        <v>15</v>
      </c>
      <c r="B16" s="4">
        <v>244.3</v>
      </c>
      <c r="C16" s="4">
        <f t="shared" si="1"/>
        <v>-0.12109767986991701</v>
      </c>
      <c r="D16" s="5">
        <v>234</v>
      </c>
      <c r="E16" s="4">
        <f t="shared" si="0"/>
        <v>-0.12817519342399764</v>
      </c>
    </row>
    <row r="17" spans="1:5" x14ac:dyDescent="0.3">
      <c r="A17" s="6" t="s">
        <v>16</v>
      </c>
      <c r="B17" s="4">
        <v>219.3</v>
      </c>
      <c r="C17" s="4">
        <f t="shared" si="1"/>
        <v>-0.10795632283985229</v>
      </c>
      <c r="D17" s="5">
        <v>211.5</v>
      </c>
      <c r="E17" s="4">
        <f t="shared" si="0"/>
        <v>-0.10109611687136875</v>
      </c>
    </row>
    <row r="18" spans="1:5" x14ac:dyDescent="0.3">
      <c r="A18" s="6" t="s">
        <v>17</v>
      </c>
      <c r="B18" s="4">
        <v>233.75</v>
      </c>
      <c r="C18" s="4">
        <f t="shared" si="1"/>
        <v>6.3811512744953766E-2</v>
      </c>
      <c r="D18" s="5">
        <v>217.75</v>
      </c>
      <c r="E18" s="4">
        <f t="shared" si="0"/>
        <v>2.9122617246279611E-2</v>
      </c>
    </row>
    <row r="19" spans="1:5" x14ac:dyDescent="0.3">
      <c r="A19" s="6" t="s">
        <v>18</v>
      </c>
      <c r="B19" s="4">
        <v>235</v>
      </c>
      <c r="C19" s="4">
        <f t="shared" si="1"/>
        <v>5.3333459753626029E-3</v>
      </c>
      <c r="D19" s="5">
        <v>224</v>
      </c>
      <c r="E19" s="4">
        <f t="shared" si="0"/>
        <v>2.8298436122427672E-2</v>
      </c>
    </row>
    <row r="20" spans="1:5" x14ac:dyDescent="0.3">
      <c r="A20" s="6" t="s">
        <v>19</v>
      </c>
      <c r="B20" s="4">
        <v>243</v>
      </c>
      <c r="C20" s="4">
        <f t="shared" si="1"/>
        <v>3.3475929196389545E-2</v>
      </c>
      <c r="D20" s="5">
        <v>235</v>
      </c>
      <c r="E20" s="4">
        <f t="shared" si="0"/>
        <v>4.793946228911905E-2</v>
      </c>
    </row>
    <row r="21" spans="1:5" x14ac:dyDescent="0.3">
      <c r="A21" s="6" t="s">
        <v>20</v>
      </c>
      <c r="B21" s="4">
        <v>243.33</v>
      </c>
      <c r="C21" s="4">
        <f t="shared" si="1"/>
        <v>1.3571034098146027E-3</v>
      </c>
      <c r="D21" s="5">
        <v>228</v>
      </c>
      <c r="E21" s="4">
        <f t="shared" si="0"/>
        <v>-3.0239885189718235E-2</v>
      </c>
    </row>
    <row r="22" spans="1:5" x14ac:dyDescent="0.3">
      <c r="A22" s="6" t="s">
        <v>21</v>
      </c>
      <c r="B22" s="4">
        <v>238.83</v>
      </c>
      <c r="C22" s="4">
        <f t="shared" si="1"/>
        <v>-1.8666544981766554E-2</v>
      </c>
      <c r="D22" s="5">
        <v>223</v>
      </c>
      <c r="E22" s="4">
        <f t="shared" si="0"/>
        <v>-2.2173857494321967E-2</v>
      </c>
    </row>
    <row r="23" spans="1:5" x14ac:dyDescent="0.3">
      <c r="A23" s="6" t="s">
        <v>22</v>
      </c>
      <c r="B23" s="4">
        <v>241</v>
      </c>
      <c r="C23" s="4">
        <f t="shared" si="1"/>
        <v>9.0449317220585232E-3</v>
      </c>
      <c r="D23" s="5">
        <v>231.5</v>
      </c>
      <c r="E23" s="4">
        <f t="shared" si="0"/>
        <v>3.7408102066170006E-2</v>
      </c>
    </row>
    <row r="24" spans="1:5" x14ac:dyDescent="0.3">
      <c r="A24" s="6" t="s">
        <v>23</v>
      </c>
      <c r="B24" s="4">
        <v>233.58499999999998</v>
      </c>
      <c r="C24" s="4">
        <f t="shared" si="1"/>
        <v>-3.1250896927050041E-2</v>
      </c>
      <c r="D24" s="5">
        <v>213.91500000000002</v>
      </c>
      <c r="E24" s="4">
        <f t="shared" si="0"/>
        <v>-7.9001133669448706E-2</v>
      </c>
    </row>
    <row r="25" spans="1:5" x14ac:dyDescent="0.3">
      <c r="A25" s="6" t="s">
        <v>24</v>
      </c>
      <c r="B25" s="4">
        <v>226.17</v>
      </c>
      <c r="C25" s="4">
        <f t="shared" si="1"/>
        <v>-3.2259107671884765E-2</v>
      </c>
      <c r="D25" s="5">
        <v>196.33</v>
      </c>
      <c r="E25" s="4">
        <f t="shared" si="0"/>
        <v>-8.5781822946182432E-2</v>
      </c>
    </row>
    <row r="26" spans="1:5" x14ac:dyDescent="0.3">
      <c r="A26" s="6" t="s">
        <v>25</v>
      </c>
      <c r="B26" s="4">
        <v>228</v>
      </c>
      <c r="C26" s="4">
        <f t="shared" si="1"/>
        <v>8.058700062720572E-3</v>
      </c>
      <c r="D26" s="5">
        <v>191.16500000000002</v>
      </c>
      <c r="E26" s="4">
        <f t="shared" si="0"/>
        <v>-2.6659987443162541E-2</v>
      </c>
    </row>
    <row r="27" spans="1:5" x14ac:dyDescent="0.3">
      <c r="A27" s="6" t="s">
        <v>26</v>
      </c>
      <c r="B27" s="4">
        <v>194</v>
      </c>
      <c r="C27" s="4">
        <f t="shared" si="1"/>
        <v>-0.16148746989111265</v>
      </c>
      <c r="D27" s="5">
        <v>186</v>
      </c>
      <c r="E27" s="4">
        <f t="shared" si="0"/>
        <v>-2.739025575429389E-2</v>
      </c>
    </row>
    <row r="28" spans="1:5" x14ac:dyDescent="0.3">
      <c r="A28" s="6" t="s">
        <v>27</v>
      </c>
      <c r="B28" s="4">
        <v>208.68</v>
      </c>
      <c r="C28" s="4">
        <f t="shared" si="1"/>
        <v>7.2943819090863879E-2</v>
      </c>
      <c r="D28" s="5">
        <v>190</v>
      </c>
      <c r="E28" s="4">
        <f t="shared" si="0"/>
        <v>2.1277398447284879E-2</v>
      </c>
    </row>
    <row r="29" spans="1:5" x14ac:dyDescent="0.3">
      <c r="A29" s="6" t="s">
        <v>28</v>
      </c>
      <c r="B29" s="4">
        <v>232.63</v>
      </c>
      <c r="C29" s="4">
        <f t="shared" si="1"/>
        <v>0.10864723039776063</v>
      </c>
      <c r="D29" s="5">
        <v>230.5</v>
      </c>
      <c r="E29" s="4">
        <f t="shared" si="0"/>
        <v>0.19322679027621714</v>
      </c>
    </row>
    <row r="30" spans="1:5" x14ac:dyDescent="0.3">
      <c r="A30" s="6" t="s">
        <v>29</v>
      </c>
      <c r="B30" s="4">
        <v>245.33</v>
      </c>
      <c r="C30" s="4">
        <f t="shared" si="1"/>
        <v>5.3155034459988829E-2</v>
      </c>
      <c r="D30" s="5">
        <v>240</v>
      </c>
      <c r="E30" s="4">
        <f t="shared" si="0"/>
        <v>4.0388060905288029E-2</v>
      </c>
    </row>
    <row r="31" spans="1:5" x14ac:dyDescent="0.3">
      <c r="A31" s="6" t="s">
        <v>30</v>
      </c>
      <c r="B31" s="4">
        <v>268.92</v>
      </c>
      <c r="C31" s="4">
        <f t="shared" si="1"/>
        <v>9.180969458889468E-2</v>
      </c>
      <c r="D31" s="5">
        <v>255</v>
      </c>
      <c r="E31" s="4">
        <f t="shared" si="0"/>
        <v>6.062462181643484E-2</v>
      </c>
    </row>
    <row r="32" spans="1:5" x14ac:dyDescent="0.3">
      <c r="A32" s="6" t="s">
        <v>31</v>
      </c>
      <c r="B32" s="4">
        <v>254.38</v>
      </c>
      <c r="C32" s="4">
        <f t="shared" si="1"/>
        <v>-5.5584725577497565E-2</v>
      </c>
      <c r="D32" s="5">
        <v>243.33</v>
      </c>
      <c r="E32" s="4">
        <f t="shared" si="0"/>
        <v>-4.6844998408063089E-2</v>
      </c>
    </row>
    <row r="33" spans="1:5" x14ac:dyDescent="0.3">
      <c r="A33" s="6" t="s">
        <v>32</v>
      </c>
      <c r="B33" s="4">
        <v>229.33</v>
      </c>
      <c r="C33" s="4">
        <f t="shared" si="1"/>
        <v>-0.10366719774745778</v>
      </c>
      <c r="D33" s="5">
        <v>215.5</v>
      </c>
      <c r="E33" s="4">
        <f t="shared" si="0"/>
        <v>-0.1214576372065606</v>
      </c>
    </row>
    <row r="34" spans="1:5" x14ac:dyDescent="0.3">
      <c r="A34" s="6" t="s">
        <v>33</v>
      </c>
      <c r="B34" s="4">
        <v>225.23</v>
      </c>
      <c r="C34" s="4">
        <f t="shared" si="1"/>
        <v>-1.8039911962593871E-2</v>
      </c>
      <c r="D34" s="5">
        <v>218.5</v>
      </c>
      <c r="E34" s="4">
        <f t="shared" si="0"/>
        <v>1.3825104991842335E-2</v>
      </c>
    </row>
    <row r="35" spans="1:5" x14ac:dyDescent="0.3">
      <c r="A35" s="6" t="s">
        <v>34</v>
      </c>
      <c r="B35" s="4">
        <v>236.4</v>
      </c>
      <c r="C35" s="4">
        <f t="shared" si="1"/>
        <v>4.8403183218656394E-2</v>
      </c>
      <c r="D35" s="5">
        <v>232.25</v>
      </c>
      <c r="E35" s="4">
        <f t="shared" si="0"/>
        <v>6.1028363158303026E-2</v>
      </c>
    </row>
    <row r="36" spans="1:5" x14ac:dyDescent="0.3">
      <c r="A36" s="6" t="s">
        <v>35</v>
      </c>
      <c r="B36" s="4">
        <v>256.57</v>
      </c>
      <c r="C36" s="4">
        <f t="shared" si="1"/>
        <v>8.1876246330656946E-2</v>
      </c>
      <c r="D36" s="5">
        <v>250.88</v>
      </c>
      <c r="E36" s="4">
        <f t="shared" si="0"/>
        <v>7.7160359468095033E-2</v>
      </c>
    </row>
    <row r="37" spans="1:5" x14ac:dyDescent="0.3">
      <c r="A37" s="6" t="s">
        <v>36</v>
      </c>
      <c r="B37" s="4">
        <v>285.20999999999998</v>
      </c>
      <c r="C37" s="4">
        <f t="shared" si="1"/>
        <v>0.10582421917644859</v>
      </c>
      <c r="D37" s="5">
        <v>283</v>
      </c>
      <c r="E37" s="4">
        <f t="shared" si="0"/>
        <v>0.12047216048119458</v>
      </c>
    </row>
    <row r="38" spans="1:5" x14ac:dyDescent="0.3">
      <c r="A38" s="6" t="s">
        <v>37</v>
      </c>
      <c r="B38" s="4">
        <v>328.71</v>
      </c>
      <c r="C38" s="4">
        <f t="shared" si="1"/>
        <v>0.1419501520463628</v>
      </c>
      <c r="D38" s="5">
        <v>324</v>
      </c>
      <c r="E38" s="4">
        <f t="shared" si="0"/>
        <v>0.13529661814909169</v>
      </c>
    </row>
    <row r="39" spans="1:5" x14ac:dyDescent="0.3">
      <c r="A39" s="6" t="s">
        <v>38</v>
      </c>
      <c r="B39" s="4">
        <v>338.67</v>
      </c>
      <c r="C39" s="4">
        <f t="shared" si="1"/>
        <v>2.9850278856153746E-2</v>
      </c>
      <c r="D39" s="5">
        <v>329</v>
      </c>
      <c r="E39" s="4">
        <f t="shared" si="0"/>
        <v>1.5314234973042575E-2</v>
      </c>
    </row>
    <row r="40" spans="1:5" x14ac:dyDescent="0.3">
      <c r="A40" s="6" t="s">
        <v>39</v>
      </c>
      <c r="B40" s="4">
        <v>316.20999999999998</v>
      </c>
      <c r="C40" s="4">
        <f t="shared" si="1"/>
        <v>-6.8619632112823833E-2</v>
      </c>
      <c r="D40" s="5">
        <v>308.75</v>
      </c>
      <c r="E40" s="4">
        <f t="shared" si="0"/>
        <v>-6.3525862823184967E-2</v>
      </c>
    </row>
    <row r="41" spans="1:5" x14ac:dyDescent="0.3">
      <c r="A41" s="6" t="s">
        <v>40</v>
      </c>
      <c r="B41" s="4">
        <v>322.06</v>
      </c>
      <c r="C41" s="4">
        <f t="shared" si="1"/>
        <v>1.8331313761108477E-2</v>
      </c>
      <c r="D41" s="5">
        <v>312</v>
      </c>
      <c r="E41" s="4">
        <f t="shared" si="0"/>
        <v>1.0471299867295437E-2</v>
      </c>
    </row>
    <row r="42" spans="1:5" x14ac:dyDescent="0.3">
      <c r="A42" s="6" t="s">
        <v>41</v>
      </c>
      <c r="B42" s="4">
        <v>340.43</v>
      </c>
      <c r="C42" s="4">
        <f t="shared" si="1"/>
        <v>5.5471660835877769E-2</v>
      </c>
      <c r="D42" s="5">
        <v>343</v>
      </c>
      <c r="E42" s="4">
        <f t="shared" si="0"/>
        <v>9.4727259356457649E-2</v>
      </c>
    </row>
    <row r="43" spans="1:5" x14ac:dyDescent="0.3">
      <c r="A43" s="6" t="s">
        <v>42</v>
      </c>
      <c r="B43" s="4">
        <v>343.8</v>
      </c>
      <c r="C43" s="4">
        <f t="shared" si="1"/>
        <v>9.8505685230212813E-3</v>
      </c>
      <c r="D43" s="5">
        <v>322.5</v>
      </c>
      <c r="E43" s="4">
        <f t="shared" si="0"/>
        <v>-6.1627310930112755E-2</v>
      </c>
    </row>
    <row r="44" spans="1:5" x14ac:dyDescent="0.3">
      <c r="A44" s="6" t="s">
        <v>43</v>
      </c>
      <c r="B44" s="4">
        <v>352.5</v>
      </c>
      <c r="C44" s="4">
        <f t="shared" si="1"/>
        <v>2.4990529303574337E-2</v>
      </c>
      <c r="D44" s="5">
        <v>328.5</v>
      </c>
      <c r="E44" s="4">
        <f t="shared" si="0"/>
        <v>1.8433701688837966E-2</v>
      </c>
    </row>
    <row r="45" spans="1:5" x14ac:dyDescent="0.3">
      <c r="A45" s="6" t="s">
        <v>44</v>
      </c>
      <c r="B45" s="4">
        <v>346.38</v>
      </c>
      <c r="C45" s="4">
        <f t="shared" si="1"/>
        <v>-1.7514183951426201E-2</v>
      </c>
      <c r="D45" s="5">
        <v>329</v>
      </c>
      <c r="E45" s="4">
        <f t="shared" si="0"/>
        <v>1.5209128407067448E-3</v>
      </c>
    </row>
    <row r="46" spans="1:5" x14ac:dyDescent="0.3">
      <c r="A46" s="6" t="s">
        <v>45</v>
      </c>
      <c r="B46" s="4">
        <v>343.5</v>
      </c>
      <c r="C46" s="4">
        <f t="shared" si="1"/>
        <v>-8.3493266384931618E-3</v>
      </c>
      <c r="D46" s="5">
        <v>328.5</v>
      </c>
      <c r="E46" s="4">
        <f t="shared" si="0"/>
        <v>-1.5209128407067314E-3</v>
      </c>
    </row>
    <row r="47" spans="1:5" x14ac:dyDescent="0.3">
      <c r="A47" s="6" t="s">
        <v>46</v>
      </c>
      <c r="B47" s="4">
        <v>345.67</v>
      </c>
      <c r="C47" s="4">
        <f t="shared" si="1"/>
        <v>6.2974510540612762E-3</v>
      </c>
      <c r="D47" s="5">
        <v>328</v>
      </c>
      <c r="E47" s="4">
        <f t="shared" si="0"/>
        <v>-1.5232295405215258E-3</v>
      </c>
    </row>
    <row r="48" spans="1:5" x14ac:dyDescent="0.3">
      <c r="A48" s="6" t="s">
        <v>47</v>
      </c>
      <c r="B48" s="4">
        <v>336.5</v>
      </c>
      <c r="C48" s="4">
        <f t="shared" si="1"/>
        <v>-2.688641363168278E-2</v>
      </c>
      <c r="D48" s="5">
        <v>320</v>
      </c>
      <c r="E48" s="4">
        <f t="shared" si="0"/>
        <v>-2.4692612590371522E-2</v>
      </c>
    </row>
    <row r="49" spans="1:5" x14ac:dyDescent="0.3">
      <c r="A49" s="6" t="s">
        <v>48</v>
      </c>
      <c r="B49" s="4">
        <v>332.8</v>
      </c>
      <c r="C49" s="4">
        <f t="shared" si="1"/>
        <v>-1.1056440137728928E-2</v>
      </c>
      <c r="D49" s="5">
        <v>324.7</v>
      </c>
      <c r="E49" s="4">
        <f t="shared" si="0"/>
        <v>1.4580683315028002E-2</v>
      </c>
    </row>
    <row r="50" spans="1:5" x14ac:dyDescent="0.3">
      <c r="A50" s="6" t="s">
        <v>49</v>
      </c>
      <c r="B50" s="4">
        <v>311.17</v>
      </c>
      <c r="C50" s="4">
        <f t="shared" si="1"/>
        <v>-6.7202322317972407E-2</v>
      </c>
      <c r="D50" s="5">
        <v>295</v>
      </c>
      <c r="E50" s="4">
        <f t="shared" si="0"/>
        <v>-9.5926322768980388E-2</v>
      </c>
    </row>
    <row r="51" spans="1:5" x14ac:dyDescent="0.3">
      <c r="A51" s="6" t="s">
        <v>50</v>
      </c>
      <c r="B51" s="4">
        <v>278.83</v>
      </c>
      <c r="C51" s="4">
        <f t="shared" si="1"/>
        <v>-0.10973710951439282</v>
      </c>
      <c r="D51" s="5">
        <v>252.5</v>
      </c>
      <c r="E51" s="4">
        <f t="shared" si="0"/>
        <v>-0.15556410762440526</v>
      </c>
    </row>
    <row r="52" spans="1:5" x14ac:dyDescent="0.3">
      <c r="A52" s="6" t="s">
        <v>51</v>
      </c>
      <c r="B52" s="4">
        <v>280.33</v>
      </c>
      <c r="C52" s="4">
        <f t="shared" si="1"/>
        <v>5.3652035130351203E-3</v>
      </c>
      <c r="D52" s="5">
        <v>258.75</v>
      </c>
      <c r="E52" s="4">
        <f t="shared" si="0"/>
        <v>2.4451095864164336E-2</v>
      </c>
    </row>
    <row r="53" spans="1:5" x14ac:dyDescent="0.3">
      <c r="A53" s="6" t="s">
        <v>52</v>
      </c>
      <c r="B53" s="4">
        <v>265</v>
      </c>
      <c r="C53" s="4">
        <f t="shared" si="1"/>
        <v>-5.6237654641501392E-2</v>
      </c>
      <c r="D53" s="5">
        <v>245.5</v>
      </c>
      <c r="E53" s="4">
        <f t="shared" si="0"/>
        <v>-5.2565397345003616E-2</v>
      </c>
    </row>
    <row r="54" spans="1:5" x14ac:dyDescent="0.3">
      <c r="A54" s="6" t="s">
        <v>53</v>
      </c>
      <c r="B54" s="4">
        <v>285.83</v>
      </c>
      <c r="C54" s="4">
        <f t="shared" si="1"/>
        <v>7.5667402510183501E-2</v>
      </c>
      <c r="D54" s="5">
        <v>265.25</v>
      </c>
      <c r="E54" s="4">
        <f t="shared" si="0"/>
        <v>7.7375830259517248E-2</v>
      </c>
    </row>
    <row r="55" spans="1:5" x14ac:dyDescent="0.3">
      <c r="A55" s="6" t="s">
        <v>54</v>
      </c>
      <c r="B55" s="4">
        <v>317.5</v>
      </c>
      <c r="C55" s="4">
        <f t="shared" si="1"/>
        <v>0.10508058983634076</v>
      </c>
      <c r="D55" s="5">
        <v>285</v>
      </c>
      <c r="E55" s="4">
        <f t="shared" si="0"/>
        <v>7.1816402774557933E-2</v>
      </c>
    </row>
    <row r="56" spans="1:5" x14ac:dyDescent="0.3">
      <c r="A56" s="6" t="s">
        <v>55</v>
      </c>
      <c r="B56" s="4">
        <v>300</v>
      </c>
      <c r="C56" s="4">
        <f t="shared" si="1"/>
        <v>-5.6695343676545294E-2</v>
      </c>
      <c r="D56" s="5">
        <v>275.75</v>
      </c>
      <c r="E56" s="4">
        <f t="shared" si="0"/>
        <v>-3.2994522135038666E-2</v>
      </c>
    </row>
    <row r="57" spans="1:5" x14ac:dyDescent="0.3">
      <c r="A57" s="6" t="s">
        <v>56</v>
      </c>
      <c r="B57" s="4">
        <v>281.44</v>
      </c>
      <c r="C57" s="4">
        <f t="shared" si="1"/>
        <v>-6.3863193666952978E-2</v>
      </c>
      <c r="D57" s="5">
        <v>266.5</v>
      </c>
      <c r="E57" s="4">
        <f t="shared" si="0"/>
        <v>-3.412041452771266E-2</v>
      </c>
    </row>
    <row r="58" spans="1:5" x14ac:dyDescent="0.3">
      <c r="A58" s="6" t="s">
        <v>57</v>
      </c>
      <c r="B58" s="4">
        <v>259.10000000000002</v>
      </c>
      <c r="C58" s="4">
        <f t="shared" si="1"/>
        <v>-8.2705193421183709E-2</v>
      </c>
      <c r="D58" s="5">
        <v>257.25</v>
      </c>
      <c r="E58" s="4">
        <f t="shared" si="0"/>
        <v>-3.532586889174022E-2</v>
      </c>
    </row>
    <row r="59" spans="1:5" x14ac:dyDescent="0.3">
      <c r="A59" s="6" t="s">
        <v>58</v>
      </c>
      <c r="B59" s="4">
        <v>263.20999999999998</v>
      </c>
      <c r="C59" s="4">
        <f t="shared" si="1"/>
        <v>1.5738105082319594E-2</v>
      </c>
      <c r="D59" s="5">
        <v>248</v>
      </c>
      <c r="E59" s="4">
        <f t="shared" si="0"/>
        <v>-3.6619628549176803E-2</v>
      </c>
    </row>
    <row r="60" spans="1:5" x14ac:dyDescent="0.3">
      <c r="A60" s="6" t="s">
        <v>59</v>
      </c>
      <c r="B60" s="4">
        <v>262.75</v>
      </c>
      <c r="C60" s="4">
        <f t="shared" si="1"/>
        <v>-1.7491828933234416E-3</v>
      </c>
      <c r="D60" s="5">
        <v>252.5</v>
      </c>
      <c r="E60" s="4">
        <f t="shared" si="0"/>
        <v>1.798250255043227E-2</v>
      </c>
    </row>
    <row r="61" spans="1:5" x14ac:dyDescent="0.3">
      <c r="A61" s="6" t="s">
        <v>60</v>
      </c>
      <c r="B61" s="4">
        <v>274.5</v>
      </c>
      <c r="C61" s="4">
        <f t="shared" si="1"/>
        <v>4.3748251192524852E-2</v>
      </c>
      <c r="D61" s="5">
        <v>257</v>
      </c>
      <c r="E61" s="4">
        <f t="shared" si="0"/>
        <v>1.7664836179805299E-2</v>
      </c>
    </row>
    <row r="62" spans="1:5" x14ac:dyDescent="0.3">
      <c r="A62" s="6" t="s">
        <v>61</v>
      </c>
      <c r="B62" s="4">
        <v>252.3</v>
      </c>
      <c r="C62" s="4">
        <f t="shared" si="1"/>
        <v>-8.4332405302573216E-2</v>
      </c>
      <c r="D62" s="5">
        <v>242.5</v>
      </c>
      <c r="E62" s="4">
        <f t="shared" si="0"/>
        <v>-5.8074374517681937E-2</v>
      </c>
    </row>
    <row r="63" spans="1:5" x14ac:dyDescent="0.3">
      <c r="A63" s="6" t="s">
        <v>62</v>
      </c>
      <c r="B63" s="4">
        <v>247.67</v>
      </c>
      <c r="C63" s="4">
        <f t="shared" si="1"/>
        <v>-1.8521640737731711E-2</v>
      </c>
      <c r="D63" s="5">
        <v>237.13</v>
      </c>
      <c r="E63" s="4">
        <f t="shared" si="0"/>
        <v>-2.2393196419519715E-2</v>
      </c>
    </row>
    <row r="64" spans="1:5" x14ac:dyDescent="0.3">
      <c r="A64" s="6" t="s">
        <v>63</v>
      </c>
      <c r="B64" s="4">
        <v>267.31</v>
      </c>
      <c r="C64" s="4">
        <f t="shared" si="1"/>
        <v>7.6311818684335619E-2</v>
      </c>
      <c r="D64" s="5">
        <v>243.565</v>
      </c>
      <c r="E64" s="4">
        <f t="shared" si="0"/>
        <v>2.6775333394108456E-2</v>
      </c>
    </row>
    <row r="65" spans="1:5" x14ac:dyDescent="0.3">
      <c r="A65" s="6" t="s">
        <v>64</v>
      </c>
      <c r="B65" s="4">
        <v>265.14999999999998</v>
      </c>
      <c r="C65" s="4">
        <f t="shared" si="1"/>
        <v>-8.1133300104771437E-3</v>
      </c>
      <c r="D65" s="5">
        <v>250</v>
      </c>
      <c r="E65" s="4">
        <f t="shared" si="0"/>
        <v>2.6077070510119819E-2</v>
      </c>
    </row>
    <row r="66" spans="1:5" x14ac:dyDescent="0.3">
      <c r="A66" s="6" t="s">
        <v>53</v>
      </c>
      <c r="B66" s="4">
        <v>275.45999999999998</v>
      </c>
      <c r="C66" s="4">
        <f t="shared" si="1"/>
        <v>3.8146723906046724E-2</v>
      </c>
      <c r="D66" s="5">
        <v>264</v>
      </c>
      <c r="E66" s="4">
        <f t="shared" si="0"/>
        <v>5.4488185284069776E-2</v>
      </c>
    </row>
    <row r="67" spans="1:5" x14ac:dyDescent="0.3">
      <c r="A67" s="6" t="s">
        <v>65</v>
      </c>
      <c r="B67" s="4">
        <v>316.51</v>
      </c>
      <c r="C67" s="4">
        <f t="shared" si="1"/>
        <v>0.13891240917253481</v>
      </c>
      <c r="D67" s="5">
        <v>278</v>
      </c>
      <c r="E67" s="4">
        <f t="shared" si="0"/>
        <v>5.1672010544320857E-2</v>
      </c>
    </row>
    <row r="68" spans="1:5" x14ac:dyDescent="0.3">
      <c r="A68" s="6" t="s">
        <v>66</v>
      </c>
      <c r="B68" s="4">
        <v>299.60000000000002</v>
      </c>
      <c r="C68" s="4">
        <f t="shared" ref="C68:C131" si="2">LN(B68/B67)</f>
        <v>-5.4906585018655939E-2</v>
      </c>
      <c r="D68" s="5">
        <v>275.33333333333331</v>
      </c>
      <c r="E68" s="4">
        <f t="shared" ref="E68:E131" si="3">LN(D68/D67)</f>
        <v>-9.6386288377687448E-3</v>
      </c>
    </row>
    <row r="69" spans="1:5" x14ac:dyDescent="0.3">
      <c r="A69" s="6" t="s">
        <v>67</v>
      </c>
      <c r="B69" s="4">
        <v>290.73</v>
      </c>
      <c r="C69" s="4">
        <f t="shared" si="2"/>
        <v>-3.0053250228496003E-2</v>
      </c>
      <c r="D69" s="5">
        <v>272.66666666666669</v>
      </c>
      <c r="E69" s="4">
        <f t="shared" si="3"/>
        <v>-9.7324369182308877E-3</v>
      </c>
    </row>
    <row r="70" spans="1:5" x14ac:dyDescent="0.3">
      <c r="A70" s="6" t="s">
        <v>68</v>
      </c>
      <c r="B70" s="4">
        <v>302.5</v>
      </c>
      <c r="C70" s="4">
        <f t="shared" si="2"/>
        <v>3.9686276056327664E-2</v>
      </c>
      <c r="D70" s="5">
        <v>270</v>
      </c>
      <c r="E70" s="4">
        <f t="shared" si="3"/>
        <v>-9.8280889362626512E-3</v>
      </c>
    </row>
    <row r="71" spans="1:5" x14ac:dyDescent="0.3">
      <c r="A71" s="6" t="s">
        <v>69</v>
      </c>
      <c r="B71" s="4">
        <v>301.29000000000002</v>
      </c>
      <c r="C71" s="4">
        <f t="shared" si="2"/>
        <v>-4.0080213975387108E-3</v>
      </c>
      <c r="D71" s="5">
        <v>295.7</v>
      </c>
      <c r="E71" s="4">
        <f t="shared" si="3"/>
        <v>9.0923467860056645E-2</v>
      </c>
    </row>
    <row r="72" spans="1:5" x14ac:dyDescent="0.3">
      <c r="A72" s="6" t="s">
        <v>70</v>
      </c>
      <c r="B72" s="4">
        <v>317.93</v>
      </c>
      <c r="C72" s="4">
        <f t="shared" si="2"/>
        <v>5.3757976689418986E-2</v>
      </c>
      <c r="D72" s="5">
        <v>321.39999999999998</v>
      </c>
      <c r="E72" s="4">
        <f t="shared" si="3"/>
        <v>8.3341026444980565E-2</v>
      </c>
    </row>
    <row r="73" spans="1:5" x14ac:dyDescent="0.3">
      <c r="A73" s="6" t="s">
        <v>71</v>
      </c>
      <c r="B73" s="4">
        <v>325.33999999999997</v>
      </c>
      <c r="C73" s="4">
        <f t="shared" si="2"/>
        <v>2.3039556575530779E-2</v>
      </c>
      <c r="D73" s="5">
        <v>308</v>
      </c>
      <c r="E73" s="4">
        <f t="shared" si="3"/>
        <v>-4.2586670329837664E-2</v>
      </c>
    </row>
    <row r="74" spans="1:5" x14ac:dyDescent="0.3">
      <c r="A74" s="6" t="s">
        <v>72</v>
      </c>
      <c r="B74" s="4">
        <v>326.45999999999998</v>
      </c>
      <c r="C74" s="4">
        <f t="shared" si="2"/>
        <v>3.436640387581629E-3</v>
      </c>
      <c r="D74" s="5">
        <v>315</v>
      </c>
      <c r="E74" s="4">
        <f t="shared" si="3"/>
        <v>2.2472855852058576E-2</v>
      </c>
    </row>
    <row r="75" spans="1:5" x14ac:dyDescent="0.3">
      <c r="A75" s="6" t="s">
        <v>73</v>
      </c>
      <c r="B75" s="4">
        <v>301.25</v>
      </c>
      <c r="C75" s="4">
        <f t="shared" si="2"/>
        <v>-8.0366944921024128E-2</v>
      </c>
      <c r="D75" s="5">
        <v>263</v>
      </c>
      <c r="E75" s="4">
        <f t="shared" si="3"/>
        <v>-0.18041860664786846</v>
      </c>
    </row>
    <row r="76" spans="1:5" x14ac:dyDescent="0.3">
      <c r="A76" s="6" t="s">
        <v>74</v>
      </c>
      <c r="B76" s="4">
        <v>300</v>
      </c>
      <c r="C76" s="4">
        <f t="shared" si="2"/>
        <v>-4.158010148663677E-3</v>
      </c>
      <c r="D76" s="5">
        <v>273</v>
      </c>
      <c r="E76" s="4">
        <f t="shared" si="3"/>
        <v>3.7317763007195283E-2</v>
      </c>
    </row>
    <row r="77" spans="1:5" x14ac:dyDescent="0.3">
      <c r="A77" s="6" t="s">
        <v>75</v>
      </c>
      <c r="B77" s="4">
        <v>303.83333333333331</v>
      </c>
      <c r="C77" s="4">
        <f t="shared" si="2"/>
        <v>1.2696830794406977E-2</v>
      </c>
      <c r="D77" s="5">
        <v>274</v>
      </c>
      <c r="E77" s="4">
        <f t="shared" si="3"/>
        <v>3.6563112031104792E-3</v>
      </c>
    </row>
    <row r="78" spans="1:5" x14ac:dyDescent="0.3">
      <c r="A78" s="6" t="s">
        <v>76</v>
      </c>
      <c r="B78" s="4">
        <v>307.66666666666669</v>
      </c>
      <c r="C78" s="4">
        <f t="shared" si="2"/>
        <v>1.2537640384134626E-2</v>
      </c>
      <c r="D78" s="5">
        <v>275</v>
      </c>
      <c r="E78" s="4">
        <f t="shared" si="3"/>
        <v>3.6429912785010087E-3</v>
      </c>
    </row>
    <row r="79" spans="1:5" x14ac:dyDescent="0.3">
      <c r="A79" s="6" t="s">
        <v>77</v>
      </c>
      <c r="B79" s="4">
        <v>311.5</v>
      </c>
      <c r="C79" s="4">
        <f t="shared" si="2"/>
        <v>1.2382392392765285E-2</v>
      </c>
      <c r="D79" s="5">
        <v>276</v>
      </c>
      <c r="E79" s="4">
        <f t="shared" si="3"/>
        <v>3.6297680505787311E-3</v>
      </c>
    </row>
    <row r="80" spans="1:5" x14ac:dyDescent="0.3">
      <c r="A80" s="6" t="s">
        <v>78</v>
      </c>
      <c r="B80" s="4">
        <v>315.33333333333331</v>
      </c>
      <c r="C80" s="4">
        <f t="shared" si="2"/>
        <v>1.2230942156260624E-2</v>
      </c>
      <c r="D80" s="5">
        <v>277</v>
      </c>
      <c r="E80" s="4">
        <f t="shared" si="3"/>
        <v>3.6166404701885148E-3</v>
      </c>
    </row>
    <row r="81" spans="1:5" x14ac:dyDescent="0.3">
      <c r="A81" s="6" t="s">
        <v>79</v>
      </c>
      <c r="B81" s="4">
        <v>319.16666666666669</v>
      </c>
      <c r="C81" s="4">
        <f t="shared" si="2"/>
        <v>1.208315200292286E-2</v>
      </c>
      <c r="D81" s="5">
        <v>278</v>
      </c>
      <c r="E81" s="4">
        <f t="shared" si="3"/>
        <v>3.6036075032986181E-3</v>
      </c>
    </row>
    <row r="82" spans="1:5" x14ac:dyDescent="0.3">
      <c r="A82" s="6" t="s">
        <v>80</v>
      </c>
      <c r="B82" s="4">
        <v>323</v>
      </c>
      <c r="C82" s="4">
        <f t="shared" si="2"/>
        <v>1.1938890835965082E-2</v>
      </c>
      <c r="D82" s="5">
        <v>307.75</v>
      </c>
      <c r="E82" s="4">
        <f t="shared" si="3"/>
        <v>0.10166665137392572</v>
      </c>
    </row>
    <row r="83" spans="1:5" x14ac:dyDescent="0.3">
      <c r="A83" s="6" t="s">
        <v>81</v>
      </c>
      <c r="B83" s="4">
        <v>362.67</v>
      </c>
      <c r="C83" s="4">
        <f t="shared" si="2"/>
        <v>0.11584100665935378</v>
      </c>
      <c r="D83" s="5">
        <v>337.5</v>
      </c>
      <c r="E83" s="4">
        <f t="shared" si="3"/>
        <v>9.227774524802157E-2</v>
      </c>
    </row>
    <row r="84" spans="1:5" x14ac:dyDescent="0.3">
      <c r="A84" s="6" t="s">
        <v>82</v>
      </c>
      <c r="B84" s="4">
        <v>406.88</v>
      </c>
      <c r="C84" s="4">
        <f t="shared" si="2"/>
        <v>0.11502497179179932</v>
      </c>
      <c r="D84" s="5">
        <v>375</v>
      </c>
      <c r="E84" s="4">
        <f t="shared" si="3"/>
        <v>0.10536051565782635</v>
      </c>
    </row>
    <row r="85" spans="1:5" x14ac:dyDescent="0.3">
      <c r="A85" s="6" t="s">
        <v>83</v>
      </c>
      <c r="B85" s="4">
        <v>430</v>
      </c>
      <c r="C85" s="4">
        <f t="shared" si="2"/>
        <v>5.5266907013798584E-2</v>
      </c>
      <c r="D85" s="5">
        <v>390.5</v>
      </c>
      <c r="E85" s="4">
        <f t="shared" si="3"/>
        <v>4.0501943309329949E-2</v>
      </c>
    </row>
    <row r="86" spans="1:5" x14ac:dyDescent="0.3">
      <c r="A86" s="6" t="s">
        <v>84</v>
      </c>
      <c r="B86" s="4">
        <v>458.5</v>
      </c>
      <c r="C86" s="4">
        <f t="shared" si="2"/>
        <v>6.4175083008911379E-2</v>
      </c>
      <c r="D86" s="5">
        <v>434</v>
      </c>
      <c r="E86" s="4">
        <f t="shared" si="3"/>
        <v>0.10561656482066414</v>
      </c>
    </row>
    <row r="87" spans="1:5" x14ac:dyDescent="0.3">
      <c r="A87" s="6" t="s">
        <v>85</v>
      </c>
      <c r="B87" s="4">
        <v>444.33</v>
      </c>
      <c r="C87" s="4">
        <f t="shared" si="2"/>
        <v>-3.1392762089528625E-2</v>
      </c>
      <c r="D87" s="5">
        <v>416</v>
      </c>
      <c r="E87" s="4">
        <f t="shared" si="3"/>
        <v>-4.235927383914162E-2</v>
      </c>
    </row>
    <row r="88" spans="1:5" x14ac:dyDescent="0.3">
      <c r="A88" s="6" t="s">
        <v>86</v>
      </c>
      <c r="B88" s="4">
        <v>426.5</v>
      </c>
      <c r="C88" s="4">
        <f t="shared" si="2"/>
        <v>-4.0955162675257048E-2</v>
      </c>
      <c r="D88" s="5">
        <v>409</v>
      </c>
      <c r="E88" s="4">
        <f t="shared" si="3"/>
        <v>-1.6970104218461589E-2</v>
      </c>
    </row>
    <row r="89" spans="1:5" x14ac:dyDescent="0.3">
      <c r="A89" s="6" t="s">
        <v>87</v>
      </c>
      <c r="B89" s="4">
        <v>428</v>
      </c>
      <c r="C89" s="4">
        <f t="shared" si="2"/>
        <v>3.5108286500630209E-3</v>
      </c>
      <c r="D89" s="5">
        <v>410</v>
      </c>
      <c r="E89" s="4">
        <f t="shared" si="3"/>
        <v>2.4420036555518089E-3</v>
      </c>
    </row>
    <row r="90" spans="1:5" x14ac:dyDescent="0.3">
      <c r="A90" s="6" t="s">
        <v>88</v>
      </c>
      <c r="B90" s="4">
        <v>450.25</v>
      </c>
      <c r="C90" s="4">
        <f t="shared" si="2"/>
        <v>5.06797884742686E-2</v>
      </c>
      <c r="D90" s="5">
        <v>432.5</v>
      </c>
      <c r="E90" s="4">
        <f t="shared" si="3"/>
        <v>5.3425166673580569E-2</v>
      </c>
    </row>
    <row r="91" spans="1:5" x14ac:dyDescent="0.3">
      <c r="A91" s="6" t="s">
        <v>89</v>
      </c>
      <c r="B91" s="4">
        <v>467</v>
      </c>
      <c r="C91" s="4">
        <f t="shared" si="2"/>
        <v>3.6526273612831818E-2</v>
      </c>
      <c r="D91" s="5">
        <v>450</v>
      </c>
      <c r="E91" s="4">
        <f t="shared" si="3"/>
        <v>3.9665256392431354E-2</v>
      </c>
    </row>
    <row r="92" spans="1:5" x14ac:dyDescent="0.3">
      <c r="A92" s="6" t="s">
        <v>90</v>
      </c>
      <c r="B92" s="4">
        <v>454.5</v>
      </c>
      <c r="C92" s="4">
        <f t="shared" si="2"/>
        <v>-2.7131344051363766E-2</v>
      </c>
      <c r="D92" s="5">
        <v>442.5</v>
      </c>
      <c r="E92" s="4">
        <f t="shared" si="3"/>
        <v>-1.6807118316381289E-2</v>
      </c>
    </row>
    <row r="93" spans="1:5" x14ac:dyDescent="0.3">
      <c r="A93" s="6" t="s">
        <v>91</v>
      </c>
      <c r="B93" s="4">
        <v>456.5</v>
      </c>
      <c r="C93" s="4">
        <f t="shared" si="2"/>
        <v>4.3907864174895393E-3</v>
      </c>
      <c r="D93" s="5">
        <v>435</v>
      </c>
      <c r="E93" s="4">
        <f t="shared" si="3"/>
        <v>-1.7094433359300068E-2</v>
      </c>
    </row>
    <row r="94" spans="1:5" x14ac:dyDescent="0.3">
      <c r="A94" s="6" t="s">
        <v>92</v>
      </c>
      <c r="B94" s="4">
        <v>462.5</v>
      </c>
      <c r="C94" s="4">
        <f t="shared" si="2"/>
        <v>1.3057856917456688E-2</v>
      </c>
      <c r="D94" s="5">
        <v>442.67</v>
      </c>
      <c r="E94" s="4">
        <f t="shared" si="3"/>
        <v>1.7478540371716107E-2</v>
      </c>
    </row>
    <row r="95" spans="1:5" x14ac:dyDescent="0.3">
      <c r="A95" s="6" t="s">
        <v>93</v>
      </c>
      <c r="B95" s="4">
        <v>488</v>
      </c>
      <c r="C95" s="4">
        <f t="shared" si="2"/>
        <v>5.3668848900667393E-2</v>
      </c>
      <c r="D95" s="5">
        <v>463</v>
      </c>
      <c r="E95" s="4">
        <f t="shared" si="3"/>
        <v>4.4902482625833955E-2</v>
      </c>
    </row>
    <row r="96" spans="1:5" x14ac:dyDescent="0.3">
      <c r="A96" s="6" t="s">
        <v>94</v>
      </c>
      <c r="B96" s="4">
        <v>515</v>
      </c>
      <c r="C96" s="4">
        <f t="shared" si="2"/>
        <v>5.385149481058895E-2</v>
      </c>
      <c r="D96" s="5">
        <v>463</v>
      </c>
      <c r="E96" s="4">
        <f t="shared" si="3"/>
        <v>0</v>
      </c>
    </row>
    <row r="97" spans="1:5" x14ac:dyDescent="0.3">
      <c r="A97" s="6" t="s">
        <v>95</v>
      </c>
      <c r="B97" s="4">
        <v>475</v>
      </c>
      <c r="C97" s="4">
        <f t="shared" si="2"/>
        <v>-8.0852096629094899E-2</v>
      </c>
      <c r="D97" s="5">
        <v>463</v>
      </c>
      <c r="E97" s="4">
        <f t="shared" si="3"/>
        <v>0</v>
      </c>
    </row>
    <row r="98" spans="1:5" x14ac:dyDescent="0.3">
      <c r="A98" s="6" t="s">
        <v>96</v>
      </c>
      <c r="B98" s="4">
        <v>461</v>
      </c>
      <c r="C98" s="4">
        <f t="shared" si="2"/>
        <v>-2.9916761037992692E-2</v>
      </c>
      <c r="D98" s="5">
        <v>440</v>
      </c>
      <c r="E98" s="4">
        <f t="shared" si="3"/>
        <v>-5.0952327173927184E-2</v>
      </c>
    </row>
    <row r="99" spans="1:5" x14ac:dyDescent="0.3">
      <c r="A99" s="6" t="s">
        <v>97</v>
      </c>
      <c r="B99" s="4">
        <v>458.5</v>
      </c>
      <c r="C99" s="4">
        <f t="shared" si="2"/>
        <v>-5.4377513001289931E-3</v>
      </c>
      <c r="D99" s="5">
        <v>471.5</v>
      </c>
      <c r="E99" s="4">
        <f t="shared" si="3"/>
        <v>6.9144375161205293E-2</v>
      </c>
    </row>
    <row r="100" spans="1:5" x14ac:dyDescent="0.3">
      <c r="A100" s="6" t="s">
        <v>98</v>
      </c>
      <c r="B100" s="4">
        <v>562.70000000000005</v>
      </c>
      <c r="C100" s="4">
        <f t="shared" si="2"/>
        <v>0.20478633474271379</v>
      </c>
      <c r="D100" s="5">
        <v>503</v>
      </c>
      <c r="E100" s="4">
        <f t="shared" si="3"/>
        <v>6.4671068026226963E-2</v>
      </c>
    </row>
    <row r="101" spans="1:5" x14ac:dyDescent="0.3">
      <c r="A101" s="6" t="s">
        <v>99</v>
      </c>
      <c r="B101" s="4">
        <v>648.75</v>
      </c>
      <c r="C101" s="4">
        <f t="shared" si="2"/>
        <v>0.14230080804086498</v>
      </c>
      <c r="D101" s="5">
        <v>629</v>
      </c>
      <c r="E101" s="4">
        <f t="shared" si="3"/>
        <v>0.22354108660070138</v>
      </c>
    </row>
    <row r="102" spans="1:5" x14ac:dyDescent="0.3">
      <c r="A102" s="6" t="s">
        <v>100</v>
      </c>
      <c r="B102" s="4">
        <v>718.33</v>
      </c>
      <c r="C102" s="4">
        <f t="shared" si="2"/>
        <v>0.10188163900764392</v>
      </c>
      <c r="D102" s="5">
        <v>686</v>
      </c>
      <c r="E102" s="4">
        <f t="shared" si="3"/>
        <v>8.6746371025444774E-2</v>
      </c>
    </row>
    <row r="103" spans="1:5" x14ac:dyDescent="0.3">
      <c r="A103" s="6" t="s">
        <v>101</v>
      </c>
      <c r="B103" s="4">
        <v>800.8</v>
      </c>
      <c r="C103" s="4">
        <f t="shared" si="2"/>
        <v>0.10868215451326853</v>
      </c>
      <c r="D103" s="5">
        <v>743</v>
      </c>
      <c r="E103" s="4">
        <f t="shared" si="3"/>
        <v>7.9818416991873864E-2</v>
      </c>
    </row>
    <row r="104" spans="1:5" x14ac:dyDescent="0.3">
      <c r="A104" s="6" t="s">
        <v>102</v>
      </c>
      <c r="B104" s="4">
        <v>742.9</v>
      </c>
      <c r="C104" s="4">
        <f t="shared" si="2"/>
        <v>-7.5049781843250202E-2</v>
      </c>
      <c r="D104" s="5">
        <v>701.5</v>
      </c>
      <c r="E104" s="4">
        <f t="shared" si="3"/>
        <v>-5.7475145175243526E-2</v>
      </c>
    </row>
    <row r="105" spans="1:5" x14ac:dyDescent="0.3">
      <c r="A105" s="6" t="s">
        <v>103</v>
      </c>
      <c r="B105" s="4">
        <v>685</v>
      </c>
      <c r="C105" s="4">
        <f t="shared" si="2"/>
        <v>-8.1142607895535249E-2</v>
      </c>
      <c r="D105" s="5">
        <v>660</v>
      </c>
      <c r="E105" s="4">
        <f t="shared" si="3"/>
        <v>-6.0981064522044381E-2</v>
      </c>
    </row>
    <row r="106" spans="1:5" x14ac:dyDescent="0.3">
      <c r="A106" s="6" t="s">
        <v>104</v>
      </c>
      <c r="B106" s="4">
        <v>670</v>
      </c>
      <c r="C106" s="4">
        <f t="shared" si="2"/>
        <v>-2.2141125877213518E-2</v>
      </c>
      <c r="D106" s="5">
        <v>574.75</v>
      </c>
      <c r="E106" s="4">
        <f t="shared" si="3"/>
        <v>-0.13830467137718028</v>
      </c>
    </row>
    <row r="107" spans="1:5" x14ac:dyDescent="0.3">
      <c r="A107" s="6" t="s">
        <v>105</v>
      </c>
      <c r="B107" s="4">
        <v>500</v>
      </c>
      <c r="C107" s="4">
        <f t="shared" si="2"/>
        <v>-0.29266961396281993</v>
      </c>
      <c r="D107" s="5">
        <v>489.5</v>
      </c>
      <c r="E107" s="4">
        <f t="shared" si="3"/>
        <v>-0.16055070167272587</v>
      </c>
    </row>
    <row r="108" spans="1:5" x14ac:dyDescent="0.3">
      <c r="A108" s="6" t="s">
        <v>106</v>
      </c>
      <c r="B108" s="4">
        <v>526.70000000000005</v>
      </c>
      <c r="C108" s="4">
        <f t="shared" si="2"/>
        <v>5.2023028067152019E-2</v>
      </c>
      <c r="D108" s="5">
        <v>515</v>
      </c>
      <c r="E108" s="4">
        <f t="shared" si="3"/>
        <v>5.0782438693171075E-2</v>
      </c>
    </row>
    <row r="109" spans="1:5" x14ac:dyDescent="0.3">
      <c r="A109" s="6" t="s">
        <v>107</v>
      </c>
      <c r="B109" s="4">
        <v>517.66999999999996</v>
      </c>
      <c r="C109" s="4">
        <f t="shared" si="2"/>
        <v>-1.7293152879465427E-2</v>
      </c>
      <c r="D109" s="5">
        <v>473</v>
      </c>
      <c r="E109" s="4">
        <f t="shared" si="3"/>
        <v>-8.5071512171803212E-2</v>
      </c>
    </row>
    <row r="110" spans="1:5" x14ac:dyDescent="0.3">
      <c r="A110" s="6" t="s">
        <v>108</v>
      </c>
      <c r="B110" s="4">
        <v>472.66666666666669</v>
      </c>
      <c r="C110" s="4">
        <f t="shared" si="2"/>
        <v>-9.0947555185915088E-2</v>
      </c>
      <c r="D110" s="5">
        <v>476.5</v>
      </c>
      <c r="E110" s="4">
        <f t="shared" si="3"/>
        <v>7.3723346023238084E-3</v>
      </c>
    </row>
    <row r="111" spans="1:5" x14ac:dyDescent="0.3">
      <c r="A111" s="6" t="s">
        <v>109</v>
      </c>
      <c r="B111" s="4">
        <v>505</v>
      </c>
      <c r="C111" s="4">
        <f t="shared" si="2"/>
        <v>6.6168010851396716E-2</v>
      </c>
      <c r="D111" s="5">
        <v>465.66666666666669</v>
      </c>
      <c r="E111" s="4">
        <f t="shared" si="3"/>
        <v>-2.2997652505404618E-2</v>
      </c>
    </row>
    <row r="112" spans="1:5" x14ac:dyDescent="0.3">
      <c r="A112" s="6" t="s">
        <v>110</v>
      </c>
      <c r="B112" s="4">
        <v>480</v>
      </c>
      <c r="C112" s="4">
        <f t="shared" si="2"/>
        <v>-5.0772325373423258E-2</v>
      </c>
      <c r="D112" s="5">
        <v>454.83333333333331</v>
      </c>
      <c r="E112" s="4">
        <f t="shared" si="3"/>
        <v>-2.3539019108568756E-2</v>
      </c>
    </row>
    <row r="113" spans="1:5" x14ac:dyDescent="0.3">
      <c r="A113" s="6" t="s">
        <v>111</v>
      </c>
      <c r="B113" s="4">
        <v>464</v>
      </c>
      <c r="C113" s="4">
        <f t="shared" si="2"/>
        <v>-3.3901551675681339E-2</v>
      </c>
      <c r="D113" s="5">
        <v>444</v>
      </c>
      <c r="E113" s="4">
        <f t="shared" si="3"/>
        <v>-2.4106489048058628E-2</v>
      </c>
    </row>
    <row r="114" spans="1:5" x14ac:dyDescent="0.3">
      <c r="A114" s="6" t="s">
        <v>112</v>
      </c>
      <c r="B114" s="4">
        <v>485</v>
      </c>
      <c r="C114" s="4">
        <f t="shared" si="2"/>
        <v>4.4264338711228007E-2</v>
      </c>
      <c r="D114" s="5">
        <v>479.33333333333331</v>
      </c>
      <c r="E114" s="4">
        <f t="shared" si="3"/>
        <v>7.6571687180657488E-2</v>
      </c>
    </row>
    <row r="115" spans="1:5" x14ac:dyDescent="0.3">
      <c r="A115" s="6" t="s">
        <v>113</v>
      </c>
      <c r="B115" s="4">
        <v>536.25</v>
      </c>
      <c r="C115" s="4">
        <f t="shared" si="2"/>
        <v>0.10045157930474359</v>
      </c>
      <c r="D115" s="5">
        <v>514.66666666666663</v>
      </c>
      <c r="E115" s="4">
        <f t="shared" si="3"/>
        <v>7.112319230372946E-2</v>
      </c>
    </row>
    <row r="116" spans="1:5" x14ac:dyDescent="0.3">
      <c r="A116" s="6" t="s">
        <v>114</v>
      </c>
      <c r="B116" s="4">
        <v>600</v>
      </c>
      <c r="C116" s="4">
        <f t="shared" si="2"/>
        <v>0.11232918497391972</v>
      </c>
      <c r="D116" s="5">
        <v>550</v>
      </c>
      <c r="E116" s="4">
        <f t="shared" si="3"/>
        <v>6.6398836309904841E-2</v>
      </c>
    </row>
    <row r="117" spans="1:5" x14ac:dyDescent="0.3">
      <c r="A117" s="6" t="s">
        <v>115</v>
      </c>
      <c r="B117" s="4">
        <v>518.33333333333337</v>
      </c>
      <c r="C117" s="4">
        <f t="shared" si="2"/>
        <v>-0.1463111192709215</v>
      </c>
      <c r="D117" s="5">
        <v>500</v>
      </c>
      <c r="E117" s="4">
        <f t="shared" si="3"/>
        <v>-9.5310179804324893E-2</v>
      </c>
    </row>
    <row r="118" spans="1:5" x14ac:dyDescent="0.3">
      <c r="A118" s="6" t="s">
        <v>116</v>
      </c>
      <c r="B118" s="4">
        <v>566</v>
      </c>
      <c r="C118" s="4">
        <f t="shared" si="2"/>
        <v>8.7975542257957964E-2</v>
      </c>
      <c r="D118" s="5">
        <v>545</v>
      </c>
      <c r="E118" s="4">
        <f t="shared" si="3"/>
        <v>8.6177696241052412E-2</v>
      </c>
    </row>
    <row r="119" spans="1:5" x14ac:dyDescent="0.3">
      <c r="A119" s="6" t="s">
        <v>117</v>
      </c>
      <c r="B119" s="4">
        <v>610</v>
      </c>
      <c r="C119" s="4">
        <f t="shared" si="2"/>
        <v>7.4864878964174097E-2</v>
      </c>
      <c r="D119" s="5">
        <v>565</v>
      </c>
      <c r="E119" s="4">
        <f t="shared" si="3"/>
        <v>3.6039936483196873E-2</v>
      </c>
    </row>
    <row r="120" spans="1:5" x14ac:dyDescent="0.3">
      <c r="A120" s="6" t="s">
        <v>118</v>
      </c>
      <c r="B120" s="4">
        <v>682.33333333333337</v>
      </c>
      <c r="C120" s="4">
        <f t="shared" si="2"/>
        <v>0.11205933982582304</v>
      </c>
      <c r="D120" s="5">
        <v>585</v>
      </c>
      <c r="E120" s="4">
        <f t="shared" si="3"/>
        <v>3.4786116085415604E-2</v>
      </c>
    </row>
    <row r="121" spans="1:5" x14ac:dyDescent="0.3">
      <c r="A121" s="6" t="s">
        <v>119</v>
      </c>
      <c r="B121" s="4">
        <v>793.33333333333337</v>
      </c>
      <c r="C121" s="4">
        <f t="shared" si="2"/>
        <v>0.15072518100423091</v>
      </c>
      <c r="D121" s="5">
        <v>605</v>
      </c>
      <c r="E121" s="4">
        <f t="shared" si="3"/>
        <v>3.3616610798985064E-2</v>
      </c>
    </row>
    <row r="122" spans="1:5" x14ac:dyDescent="0.3">
      <c r="A122" s="6" t="s">
        <v>120</v>
      </c>
      <c r="B122" s="4">
        <v>658.33333333333337</v>
      </c>
      <c r="C122" s="4">
        <f t="shared" si="2"/>
        <v>-0.18653208933029808</v>
      </c>
      <c r="D122" s="5">
        <v>625</v>
      </c>
      <c r="E122" s="4">
        <f t="shared" si="3"/>
        <v>3.252319170555993E-2</v>
      </c>
    </row>
    <row r="123" spans="1:5" x14ac:dyDescent="0.3">
      <c r="A123" s="6" t="s">
        <v>121</v>
      </c>
      <c r="B123" s="4">
        <v>650.5</v>
      </c>
      <c r="C123" s="4">
        <f t="shared" si="2"/>
        <v>-1.1970090714552606E-2</v>
      </c>
      <c r="D123" s="5">
        <v>633.33333333333337</v>
      </c>
      <c r="E123" s="4">
        <f t="shared" si="3"/>
        <v>1.3245226750020723E-2</v>
      </c>
    </row>
    <row r="124" spans="1:5" x14ac:dyDescent="0.3">
      <c r="A124" s="6" t="s">
        <v>122</v>
      </c>
      <c r="B124" s="4">
        <v>686.5</v>
      </c>
      <c r="C124" s="4">
        <f t="shared" si="2"/>
        <v>5.3864927255465794E-2</v>
      </c>
      <c r="D124" s="5">
        <v>629.16666666666674</v>
      </c>
      <c r="E124" s="4">
        <f t="shared" si="3"/>
        <v>-6.6006840313520242E-3</v>
      </c>
    </row>
    <row r="125" spans="1:5" x14ac:dyDescent="0.3">
      <c r="A125" s="6" t="s">
        <v>123</v>
      </c>
      <c r="B125" s="4">
        <v>645</v>
      </c>
      <c r="C125" s="4">
        <f t="shared" si="2"/>
        <v>-6.2355908412253198E-2</v>
      </c>
      <c r="D125" s="5">
        <v>625</v>
      </c>
      <c r="E125" s="4">
        <f t="shared" si="3"/>
        <v>-6.6445427186687242E-3</v>
      </c>
    </row>
    <row r="126" spans="1:5" x14ac:dyDescent="0.3">
      <c r="A126" s="6" t="s">
        <v>124</v>
      </c>
      <c r="B126" s="4">
        <v>660</v>
      </c>
      <c r="C126" s="4">
        <f t="shared" si="2"/>
        <v>2.2989518224698781E-2</v>
      </c>
      <c r="D126" s="5">
        <v>633.33333333333337</v>
      </c>
      <c r="E126" s="4">
        <f t="shared" si="3"/>
        <v>1.3245226750020723E-2</v>
      </c>
    </row>
    <row r="127" spans="1:5" x14ac:dyDescent="0.3">
      <c r="A127" s="6" t="s">
        <v>125</v>
      </c>
      <c r="B127" s="4">
        <v>675</v>
      </c>
      <c r="C127" s="4">
        <f t="shared" si="2"/>
        <v>2.2472855852058576E-2</v>
      </c>
      <c r="D127" s="5">
        <v>641.66666666666663</v>
      </c>
      <c r="E127" s="4">
        <f t="shared" si="3"/>
        <v>1.3072081567352701E-2</v>
      </c>
    </row>
    <row r="128" spans="1:5" x14ac:dyDescent="0.3">
      <c r="A128" s="6" t="s">
        <v>126</v>
      </c>
      <c r="B128" s="4">
        <v>700</v>
      </c>
      <c r="C128" s="4">
        <f t="shared" si="2"/>
        <v>3.6367644170874791E-2</v>
      </c>
      <c r="D128" s="5">
        <v>650</v>
      </c>
      <c r="E128" s="4">
        <f t="shared" si="3"/>
        <v>1.2903404835908001E-2</v>
      </c>
    </row>
    <row r="129" spans="1:5" x14ac:dyDescent="0.3">
      <c r="A129" s="6" t="s">
        <v>127</v>
      </c>
      <c r="B129" s="4">
        <v>726</v>
      </c>
      <c r="C129" s="4">
        <f t="shared" si="2"/>
        <v>3.6469679781391415E-2</v>
      </c>
      <c r="D129" s="5">
        <v>685</v>
      </c>
      <c r="E129" s="4">
        <f t="shared" si="3"/>
        <v>5.2446475372542524E-2</v>
      </c>
    </row>
    <row r="130" spans="1:5" x14ac:dyDescent="0.3">
      <c r="A130" s="6" t="s">
        <v>128</v>
      </c>
      <c r="B130" s="4">
        <v>752</v>
      </c>
      <c r="C130" s="4">
        <f t="shared" si="2"/>
        <v>3.5186309125043766E-2</v>
      </c>
      <c r="D130" s="5">
        <v>720</v>
      </c>
      <c r="E130" s="4">
        <f t="shared" si="3"/>
        <v>4.9832373747875754E-2</v>
      </c>
    </row>
    <row r="131" spans="1:5" x14ac:dyDescent="0.3">
      <c r="A131" s="6" t="s">
        <v>129</v>
      </c>
      <c r="B131" s="4">
        <v>810.5</v>
      </c>
      <c r="C131" s="4">
        <f t="shared" si="2"/>
        <v>7.4915017225890973E-2</v>
      </c>
      <c r="D131" s="5">
        <v>708.75</v>
      </c>
      <c r="E131" s="4">
        <f t="shared" si="3"/>
        <v>-1.5748356968139168E-2</v>
      </c>
    </row>
    <row r="132" spans="1:5" x14ac:dyDescent="0.3">
      <c r="A132" s="6" t="s">
        <v>130</v>
      </c>
      <c r="B132" s="4">
        <v>802.5</v>
      </c>
      <c r="C132" s="4">
        <f t="shared" ref="C132:C145" si="4">LN(B132/B131)</f>
        <v>-9.9194861715598097E-3</v>
      </c>
      <c r="D132" s="5">
        <v>697.5</v>
      </c>
      <c r="E132" s="4">
        <f t="shared" ref="E132:E145" si="5">LN(D132/D131)</f>
        <v>-1.6000341346441189E-2</v>
      </c>
    </row>
    <row r="133" spans="1:5" x14ac:dyDescent="0.3">
      <c r="A133" s="6" t="s">
        <v>131</v>
      </c>
      <c r="B133" s="4">
        <v>760</v>
      </c>
      <c r="C133" s="4">
        <f t="shared" si="4"/>
        <v>-5.4413421723794174E-2</v>
      </c>
      <c r="D133" s="5">
        <v>686.25</v>
      </c>
      <c r="E133" s="4">
        <f t="shared" si="5"/>
        <v>-1.6260520871780291E-2</v>
      </c>
    </row>
    <row r="134" spans="1:5" x14ac:dyDescent="0.3">
      <c r="A134" s="6" t="s">
        <v>132</v>
      </c>
      <c r="B134" s="4">
        <v>750</v>
      </c>
      <c r="C134" s="4">
        <f t="shared" si="4"/>
        <v>-1.324522675002068E-2</v>
      </c>
      <c r="D134" s="5">
        <v>675</v>
      </c>
      <c r="E134" s="4">
        <f t="shared" si="5"/>
        <v>-1.6529301951210582E-2</v>
      </c>
    </row>
    <row r="135" spans="1:5" x14ac:dyDescent="0.3">
      <c r="A135" s="6" t="s">
        <v>133</v>
      </c>
      <c r="B135" s="4">
        <v>726.66666666666663</v>
      </c>
      <c r="C135" s="4">
        <f t="shared" si="4"/>
        <v>-3.1605339415331217E-2</v>
      </c>
      <c r="D135" s="5">
        <v>661.66666666666663</v>
      </c>
      <c r="E135" s="4">
        <f t="shared" si="5"/>
        <v>-1.9950786419348793E-2</v>
      </c>
    </row>
    <row r="136" spans="1:5" x14ac:dyDescent="0.3">
      <c r="A136" s="6" t="s">
        <v>134</v>
      </c>
      <c r="B136" s="4">
        <v>703.33333333333337</v>
      </c>
      <c r="C136" s="4">
        <f t="shared" si="4"/>
        <v>-3.2636929313022429E-2</v>
      </c>
      <c r="D136" s="5">
        <v>648.33333333333337</v>
      </c>
      <c r="E136" s="4">
        <f t="shared" si="5"/>
        <v>-2.0356937068743971E-2</v>
      </c>
    </row>
    <row r="137" spans="1:5" x14ac:dyDescent="0.3">
      <c r="A137" s="6" t="s">
        <v>135</v>
      </c>
      <c r="B137" s="4">
        <v>680</v>
      </c>
      <c r="C137" s="4">
        <f t="shared" si="4"/>
        <v>-3.3738139631850114E-2</v>
      </c>
      <c r="D137" s="5">
        <v>635</v>
      </c>
      <c r="E137" s="4">
        <f t="shared" si="5"/>
        <v>-2.0779968491745422E-2</v>
      </c>
    </row>
    <row r="138" spans="1:5" x14ac:dyDescent="0.3">
      <c r="A138" s="6" t="s">
        <v>136</v>
      </c>
      <c r="B138" s="4">
        <v>700</v>
      </c>
      <c r="C138" s="4">
        <f t="shared" si="4"/>
        <v>2.8987536873252187E-2</v>
      </c>
      <c r="D138" s="5">
        <v>651.25</v>
      </c>
      <c r="E138" s="4">
        <f t="shared" si="5"/>
        <v>2.5268594174884983E-2</v>
      </c>
    </row>
    <row r="139" spans="1:5" x14ac:dyDescent="0.3">
      <c r="A139" s="6" t="s">
        <v>137</v>
      </c>
      <c r="B139" s="4">
        <v>715</v>
      </c>
      <c r="C139" s="4">
        <f t="shared" si="4"/>
        <v>2.1202207650602906E-2</v>
      </c>
      <c r="D139" s="5">
        <v>667.5</v>
      </c>
      <c r="E139" s="4">
        <f t="shared" si="5"/>
        <v>2.4645797206827948E-2</v>
      </c>
    </row>
    <row r="140" spans="1:5" x14ac:dyDescent="0.3">
      <c r="A140" s="6" t="s">
        <v>138</v>
      </c>
      <c r="B140" s="4">
        <v>730</v>
      </c>
      <c r="C140" s="4">
        <f t="shared" si="4"/>
        <v>2.0761991448429225E-2</v>
      </c>
      <c r="D140" s="5">
        <v>683.75</v>
      </c>
      <c r="E140" s="4">
        <f t="shared" si="5"/>
        <v>2.4052963461786318E-2</v>
      </c>
    </row>
    <row r="141" spans="1:5" ht="15.6" x14ac:dyDescent="0.3">
      <c r="A141" s="17" t="s">
        <v>169</v>
      </c>
      <c r="B141" s="4">
        <v>725</v>
      </c>
      <c r="C141" s="4">
        <f t="shared" si="4"/>
        <v>-6.8728792877620643E-3</v>
      </c>
      <c r="D141" s="4">
        <v>700</v>
      </c>
      <c r="E141" s="4">
        <f t="shared" si="5"/>
        <v>2.3487981307213759E-2</v>
      </c>
    </row>
    <row r="142" spans="1:5" ht="15.6" x14ac:dyDescent="0.3">
      <c r="A142" s="17" t="s">
        <v>170</v>
      </c>
      <c r="B142" s="4">
        <v>700</v>
      </c>
      <c r="C142" s="4">
        <f t="shared" si="4"/>
        <v>-3.5091319811270061E-2</v>
      </c>
      <c r="D142" s="4">
        <v>772.5</v>
      </c>
      <c r="E142" s="4">
        <f t="shared" si="5"/>
        <v>9.8551673728495923E-2</v>
      </c>
    </row>
    <row r="143" spans="1:5" ht="15.6" x14ac:dyDescent="0.3">
      <c r="A143" s="17" t="s">
        <v>171</v>
      </c>
      <c r="B143" s="4">
        <v>1000</v>
      </c>
      <c r="C143" s="4">
        <f t="shared" si="4"/>
        <v>0.35667494393873239</v>
      </c>
      <c r="D143" s="4">
        <v>845</v>
      </c>
      <c r="E143" s="4">
        <f t="shared" si="5"/>
        <v>8.9704618585273413E-2</v>
      </c>
    </row>
    <row r="144" spans="1:5" ht="15.6" x14ac:dyDescent="0.3">
      <c r="A144" s="17" t="s">
        <v>172</v>
      </c>
      <c r="B144" s="4">
        <v>850</v>
      </c>
      <c r="C144" s="4">
        <f t="shared" si="4"/>
        <v>-0.16251892949777494</v>
      </c>
      <c r="D144" s="4">
        <v>845</v>
      </c>
      <c r="E144" s="4">
        <f>LN(D144/D143)</f>
        <v>0</v>
      </c>
    </row>
    <row r="145" spans="1:5" x14ac:dyDescent="0.3">
      <c r="A145" s="18" t="s">
        <v>173</v>
      </c>
      <c r="B145" s="4">
        <v>700</v>
      </c>
      <c r="C145" s="4">
        <f t="shared" si="4"/>
        <v>-0.19415601444095751</v>
      </c>
      <c r="D145" s="4">
        <v>845</v>
      </c>
      <c r="E145" s="4">
        <f t="shared" si="5"/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Colombo Auction Price RSS 1</vt:lpstr>
      <vt:lpstr>Colombo Auction Price RSS 3</vt:lpstr>
      <vt:lpstr>Descrptive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Isumi Upeja  Ranatunga</dc:creator>
  <cp:lastModifiedBy>S Isumi Upeja  Ranatunga</cp:lastModifiedBy>
  <dcterms:created xsi:type="dcterms:W3CDTF">2026-01-23T06:18:54Z</dcterms:created>
  <dcterms:modified xsi:type="dcterms:W3CDTF">2026-03-13T16:14:05Z</dcterms:modified>
</cp:coreProperties>
</file>